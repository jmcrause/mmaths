
<file path=[Content_Types].xml><?xml version="1.0" encoding="utf-8"?>
<Types xmlns="http://schemas.openxmlformats.org/package/2006/content-types">
  <Override PartName="/xl/worksheets/sheet24.xml" ContentType="application/vnd.openxmlformats-officedocument.spreadsheetml.worksheet+xml"/>
  <Override PartName="/xl/activeX/activeX9.xml" ContentType="application/vnd.ms-office.activeX+xml"/>
  <Override PartName="/xl/worksheets/sheet13.xml" ContentType="application/vnd.openxmlformats-officedocument.spreadsheetml.worksheet+xml"/>
  <Override PartName="/xl/styles.xml" ContentType="application/vnd.openxmlformats-officedocument.spreadsheetml.styles+xml"/>
  <Override PartName="/xl/activeX/activeX19.xml" ContentType="application/vnd.ms-office.activeX+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activeX/activeX5.xml" ContentType="application/vnd.ms-office.activeX+xml"/>
  <Override PartName="/xl/activeX/activeX17.xml" ContentType="application/vnd.ms-office.activeX+xml"/>
  <Override PartName="/xl/drawings/drawing4.xml" ContentType="application/vnd.openxmlformats-officedocument.drawing+xml"/>
  <Override PartName="/xl/activeX/activeX28.xml" ContentType="application/vnd.ms-office.activeX+xml"/>
  <Override PartName="/xl/activeX/activeX37.xml" ContentType="application/vnd.ms-office.activeX+xml"/>
  <Override PartName="/xl/activeX/activeX46.xml" ContentType="application/vnd.ms-office.activeX+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5.xml" ContentType="application/vnd.ms-office.activeX+xml"/>
  <Override PartName="/xl/drawings/drawing2.xml" ContentType="application/vnd.openxmlformats-officedocument.drawing+xml"/>
  <Override PartName="/xl/activeX/activeX24.xml" ContentType="application/vnd.ms-office.activeX+xml"/>
  <Override PartName="/xl/activeX/activeX26.xml" ContentType="application/vnd.ms-office.activeX+xml"/>
  <Override PartName="/xl/activeX/activeX35.xml" ContentType="application/vnd.ms-office.activeX+xml"/>
  <Override PartName="/xl/activeX/activeX44.xml" ContentType="application/vnd.ms-office.activeX+xml"/>
  <Override PartName="/xl/drawings/drawing15.xml" ContentType="application/vnd.openxmlformats-officedocument.drawing+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activeX/activeX33.xml" ContentType="application/vnd.ms-office.activeX+xml"/>
  <Override PartName="/xl/drawings/drawing13.xml" ContentType="application/vnd.openxmlformats-officedocument.drawing+xml"/>
  <Override PartName="/xl/activeX/activeX42.xml" ContentType="application/vnd.ms-office.activeX+xml"/>
  <Override PartName="/xl/worksheets/sheet1.xml" ContentType="application/vnd.openxmlformats-officedocument.spreadsheetml.worksheet+xml"/>
  <Override PartName="/xl/activeX/activeX11.xml" ContentType="application/vnd.ms-office.activeX+xml"/>
  <Override PartName="/xl/activeX/activeX20.xml" ContentType="application/vnd.ms-office.activeX+xml"/>
  <Override PartName="/xl/activeX/activeX31.xml" ContentType="application/vnd.ms-office.activeX+xml"/>
  <Override PartName="/xl/drawings/drawing11.xml" ContentType="application/vnd.openxmlformats-officedocument.drawing+xml"/>
  <Override PartName="/xl/activeX/activeX40.xml" ContentType="application/vnd.ms-office.activeX+xml"/>
  <Override PartName="/xl/sharedStrings.xml" ContentType="application/vnd.openxmlformats-officedocument.spreadsheetml.sharedStrings+xml"/>
  <Override PartName="/xl/worksheets/sheet18.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activeX/activeX8.xml" ContentType="application/vnd.ms-office.activeX+xml"/>
  <Override PartName="/xl/activeX/activeX29.xml" ContentType="application/vnd.ms-office.activeX+xml"/>
  <Override PartName="/xl/drawings/drawing7.xml" ContentType="application/vnd.openxmlformats-officedocument.drawing+xml"/>
  <Override PartName="/xl/activeX/activeX38.xml" ContentType="application/vnd.ms-office.activeX+xml"/>
  <Override PartName="/xl/activeX/activeX47.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activeX/activeX6.xml" ContentType="application/vnd.ms-office.activeX+xml"/>
  <Default Extension="emf" ContentType="image/x-emf"/>
  <Override PartName="/xl/activeX/activeX18.xml" ContentType="application/vnd.ms-office.activeX+xml"/>
  <Override PartName="/xl/drawings/drawing5.xml" ContentType="application/vnd.openxmlformats-officedocument.drawing+xml"/>
  <Override PartName="/xl/activeX/activeX27.xml" ContentType="application/vnd.ms-office.activeX+xml"/>
  <Override PartName="/xl/activeX/activeX36.xml" ContentType="application/vnd.ms-office.activeX+xml"/>
  <Default Extension="jpeg" ContentType="image/jpeg"/>
  <Override PartName="/xl/activeX/activeX45.xml" ContentType="application/vnd.ms-office.activeX+xml"/>
  <Override PartName="/xl/drawings/drawing18.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drawings/drawing3.xml" ContentType="application/vnd.openxmlformats-officedocument.drawing+xml"/>
  <Override PartName="/xl/activeX/activeX25.xml" ContentType="application/vnd.ms-office.activeX+xml"/>
  <Override PartName="/xl/activeX/activeX34.xml" ContentType="application/vnd.ms-office.activeX+xml"/>
  <Override PartName="/xl/activeX/activeX43.xml" ContentType="application/vnd.ms-office.activeX+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drawings/drawing1.xml" ContentType="application/vnd.openxmlformats-officedocument.drawing+xml"/>
  <Override PartName="/xl/activeX/activeX23.xml" ContentType="application/vnd.ms-office.activeX+xml"/>
  <Override PartName="/xl/activeX/activeX32.xml" ContentType="application/vnd.ms-office.activeX+xml"/>
  <Override PartName="/xl/activeX/activeX41.xml" ContentType="application/vnd.ms-office.activeX+xml"/>
  <Override PartName="/xl/drawings/drawing14.xml" ContentType="application/vnd.openxmlformats-officedocument.drawing+xml"/>
  <Default Extension="vml" ContentType="application/vnd.openxmlformats-officedocument.vmlDrawing"/>
  <Override PartName="/xl/activeX/activeX12.xml" ContentType="application/vnd.ms-office.activeX+xml"/>
  <Override PartName="/xl/activeX/activeX21.xml" ContentType="application/vnd.ms-office.activeX+xml"/>
  <Override PartName="/xl/activeX/activeX30.xml" ContentType="application/vnd.ms-office.activeX+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activeX/activeX10.xml" ContentType="application/vnd.ms-office.activeX+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drawings/drawing8.xml" ContentType="application/vnd.openxmlformats-officedocument.drawing+xml"/>
  <Override PartName="/xl/activeX/activeX39.xml" ContentType="application/vnd.ms-office.activeX+xml"/>
  <Override PartName="/xl/drawings/drawing1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45" windowWidth="20115" windowHeight="7995" tabRatio="890"/>
  </bookViews>
  <sheets>
    <sheet name="Main Menu" sheetId="28" r:id="rId1"/>
    <sheet name="WEEK 1M" sheetId="1" r:id="rId2"/>
    <sheet name="WEEK 1T" sheetId="51" state="hidden" r:id="rId3"/>
    <sheet name="WEEK 1W" sheetId="50" state="hidden" r:id="rId4"/>
    <sheet name="WEEK 1TH" sheetId="49" state="hidden" r:id="rId5"/>
    <sheet name="WEEK 1F" sheetId="48" state="hidden" r:id="rId6"/>
    <sheet name="2XX" sheetId="57" state="hidden" r:id="rId7"/>
    <sheet name="WEEK 2M" sheetId="53" state="hidden" r:id="rId8"/>
    <sheet name="WEEK 2T" sheetId="54" state="hidden" r:id="rId9"/>
    <sheet name="WEEK 2W" sheetId="55" state="hidden" r:id="rId10"/>
    <sheet name="WEEK 2TH" sheetId="56" state="hidden" r:id="rId11"/>
    <sheet name="WEEK 2F" sheetId="59" state="hidden" r:id="rId12"/>
    <sheet name="XXX" sheetId="18" state="hidden" r:id="rId13"/>
    <sheet name="3XX" sheetId="58" state="hidden" r:id="rId14"/>
    <sheet name="WEEK 3M" sheetId="61" state="hidden" r:id="rId15"/>
    <sheet name="WEEK 3T" sheetId="60" state="hidden" r:id="rId16"/>
    <sheet name="XXXX" sheetId="24" state="hidden" r:id="rId17"/>
    <sheet name="WEEK 3W" sheetId="64" state="hidden" r:id="rId18"/>
    <sheet name="WEEK 3TH" sheetId="65" state="hidden" r:id="rId19"/>
    <sheet name="WEEK 3F" sheetId="66" state="hidden" r:id="rId20"/>
    <sheet name="EASY" sheetId="27" state="hidden" r:id="rId21"/>
    <sheet name="Week4 TH" sheetId="22" state="hidden" r:id="rId22"/>
    <sheet name="Week4 F" sheetId="23" state="hidden" r:id="rId23"/>
    <sheet name="Week4 W" sheetId="21" state="hidden" r:id="rId24"/>
    <sheet name="4XX" sheetId="62" state="hidden" r:id="rId25"/>
    <sheet name="Sheet1" sheetId="67" state="hidden" r:id="rId26"/>
  </sheets>
  <definedNames>
    <definedName name="_xlnm.Print_Area" localSheetId="5">'WEEK 1F'!$A$1:$G$34</definedName>
    <definedName name="_xlnm.Print_Area" localSheetId="1">'WEEK 1M'!$A$1:$G$34</definedName>
    <definedName name="_xlnm.Print_Area" localSheetId="2">'WEEK 1T'!$A$1:$G$34</definedName>
    <definedName name="_xlnm.Print_Area" localSheetId="4">'WEEK 1TH'!$A$1:$G$34</definedName>
    <definedName name="_xlnm.Print_Area" localSheetId="3">'WEEK 1W'!$A$1:$G$34</definedName>
    <definedName name="_xlnm.Print_Area" localSheetId="11">'WEEK 2F'!$A$1:$G$34</definedName>
    <definedName name="_xlnm.Print_Area" localSheetId="7">'WEEK 2M'!$A$1:$G$34</definedName>
    <definedName name="_xlnm.Print_Area" localSheetId="8">'WEEK 2T'!$A$1:$G$34</definedName>
    <definedName name="_xlnm.Print_Area" localSheetId="10">'WEEK 2TH'!$A$1:$G$34</definedName>
    <definedName name="_xlnm.Print_Area" localSheetId="9">'WEEK 2W'!$A$1:$G$34</definedName>
    <definedName name="_xlnm.Print_Area" localSheetId="19">'WEEK 3F'!$A$1:$G$34</definedName>
    <definedName name="_xlnm.Print_Area" localSheetId="14">'WEEK 3M'!$A$1:$G$34</definedName>
    <definedName name="_xlnm.Print_Area" localSheetId="15">'WEEK 3T'!$A$1:$G$34</definedName>
    <definedName name="_xlnm.Print_Area" localSheetId="18">'WEEK 3TH'!$A$1:$G$34</definedName>
    <definedName name="_xlnm.Print_Area" localSheetId="17">'WEEK 3W'!$A$1:$G$34</definedName>
  </definedNames>
  <calcPr calcId="124519"/>
</workbook>
</file>

<file path=xl/calcChain.xml><?xml version="1.0" encoding="utf-8"?>
<calcChain xmlns="http://schemas.openxmlformats.org/spreadsheetml/2006/main">
  <c r="F33" i="50"/>
  <c r="F33" i="61"/>
  <c r="F33" i="53"/>
  <c r="N10" i="28" s="1"/>
  <c r="F33" i="1"/>
  <c r="O19" i="28" s="1"/>
  <c r="X28"/>
  <c r="X23"/>
  <c r="X19"/>
  <c r="X15"/>
  <c r="X10"/>
  <c r="P28"/>
  <c r="P23"/>
  <c r="P19"/>
  <c r="P15"/>
  <c r="P10"/>
  <c r="H28"/>
  <c r="H23"/>
  <c r="H19"/>
  <c r="H15"/>
  <c r="H10"/>
  <c r="L3" i="53"/>
  <c r="M3" s="1"/>
  <c r="N3" s="1"/>
  <c r="O3" s="1"/>
  <c r="P3" s="1"/>
  <c r="Q3" s="1"/>
  <c r="R3" s="1"/>
  <c r="S3" s="1"/>
  <c r="T3" s="1"/>
  <c r="U3" s="1"/>
  <c r="V3" s="1"/>
  <c r="W3" s="1"/>
  <c r="X3" s="1"/>
  <c r="Y3" s="1"/>
  <c r="Z3" s="1"/>
  <c r="AA3" s="1"/>
  <c r="AB3" s="1"/>
  <c r="AC3" s="1"/>
  <c r="AD3" s="1"/>
  <c r="AE3" s="1"/>
  <c r="AF3" s="1"/>
  <c r="AG3" s="1"/>
  <c r="L3" i="54"/>
  <c r="M3" s="1"/>
  <c r="N3" s="1"/>
  <c r="O3" s="1"/>
  <c r="P3" s="1"/>
  <c r="Q3" s="1"/>
  <c r="R3" s="1"/>
  <c r="S3" s="1"/>
  <c r="T3" s="1"/>
  <c r="U3" s="1"/>
  <c r="V3" s="1"/>
  <c r="W3" s="1"/>
  <c r="X3" s="1"/>
  <c r="Y3" s="1"/>
  <c r="Z3" s="1"/>
  <c r="AA3" s="1"/>
  <c r="AB3" s="1"/>
  <c r="AC3" s="1"/>
  <c r="AD3" s="1"/>
  <c r="AE3" s="1"/>
  <c r="AF3" s="1"/>
  <c r="AG3" s="1"/>
  <c r="L3" i="55"/>
  <c r="M3" s="1"/>
  <c r="N3" s="1"/>
  <c r="O3" s="1"/>
  <c r="P3" s="1"/>
  <c r="Q3" s="1"/>
  <c r="R3" s="1"/>
  <c r="S3" s="1"/>
  <c r="T3" s="1"/>
  <c r="U3" s="1"/>
  <c r="V3" s="1"/>
  <c r="W3" s="1"/>
  <c r="X3" s="1"/>
  <c r="Y3" s="1"/>
  <c r="Z3" s="1"/>
  <c r="AA3" s="1"/>
  <c r="AB3" s="1"/>
  <c r="AC3" s="1"/>
  <c r="AD3" s="1"/>
  <c r="AE3" s="1"/>
  <c r="AF3" s="1"/>
  <c r="AG3" s="1"/>
  <c r="L3" i="56"/>
  <c r="M3" s="1"/>
  <c r="N3" s="1"/>
  <c r="O3" s="1"/>
  <c r="P3" s="1"/>
  <c r="Q3" s="1"/>
  <c r="R3" s="1"/>
  <c r="S3" s="1"/>
  <c r="T3" s="1"/>
  <c r="U3" s="1"/>
  <c r="V3" s="1"/>
  <c r="W3" s="1"/>
  <c r="X3" s="1"/>
  <c r="Y3" s="1"/>
  <c r="Z3" s="1"/>
  <c r="AA3" s="1"/>
  <c r="AB3" s="1"/>
  <c r="AC3" s="1"/>
  <c r="AD3" s="1"/>
  <c r="AE3" s="1"/>
  <c r="AF3" s="1"/>
  <c r="AG3" s="1"/>
  <c r="L3" i="59"/>
  <c r="M3" s="1"/>
  <c r="N3" s="1"/>
  <c r="O3" s="1"/>
  <c r="P3" s="1"/>
  <c r="Q3" s="1"/>
  <c r="R3" s="1"/>
  <c r="S3" s="1"/>
  <c r="T3" s="1"/>
  <c r="U3" s="1"/>
  <c r="V3" s="1"/>
  <c r="W3" s="1"/>
  <c r="X3" s="1"/>
  <c r="Y3" s="1"/>
  <c r="Z3" s="1"/>
  <c r="AA3" s="1"/>
  <c r="AB3" s="1"/>
  <c r="AC3" s="1"/>
  <c r="AD3" s="1"/>
  <c r="AE3" s="1"/>
  <c r="AF3" s="1"/>
  <c r="AG3" s="1"/>
  <c r="L3" i="61"/>
  <c r="M3" s="1"/>
  <c r="N3" s="1"/>
  <c r="O3" s="1"/>
  <c r="P3" s="1"/>
  <c r="Q3" s="1"/>
  <c r="R3" s="1"/>
  <c r="S3" s="1"/>
  <c r="T3" s="1"/>
  <c r="U3" s="1"/>
  <c r="V3" s="1"/>
  <c r="W3" s="1"/>
  <c r="X3" s="1"/>
  <c r="Y3" s="1"/>
  <c r="Z3" s="1"/>
  <c r="AA3" s="1"/>
  <c r="AB3" s="1"/>
  <c r="AC3" s="1"/>
  <c r="AD3" s="1"/>
  <c r="AE3" s="1"/>
  <c r="AF3" s="1"/>
  <c r="AG3" s="1"/>
  <c r="L3" i="60"/>
  <c r="M3" s="1"/>
  <c r="N3" s="1"/>
  <c r="O3" s="1"/>
  <c r="P3" s="1"/>
  <c r="Q3" s="1"/>
  <c r="R3" s="1"/>
  <c r="S3" s="1"/>
  <c r="T3" s="1"/>
  <c r="U3" s="1"/>
  <c r="V3" s="1"/>
  <c r="W3" s="1"/>
  <c r="X3" s="1"/>
  <c r="Y3" s="1"/>
  <c r="Z3" s="1"/>
  <c r="AA3" s="1"/>
  <c r="AB3" s="1"/>
  <c r="AC3" s="1"/>
  <c r="AD3" s="1"/>
  <c r="AE3" s="1"/>
  <c r="AF3" s="1"/>
  <c r="AG3" s="1"/>
  <c r="L3" i="64"/>
  <c r="M3" s="1"/>
  <c r="N3" s="1"/>
  <c r="O3" s="1"/>
  <c r="P3" s="1"/>
  <c r="Q3" s="1"/>
  <c r="R3" s="1"/>
  <c r="S3" s="1"/>
  <c r="T3" s="1"/>
  <c r="U3" s="1"/>
  <c r="V3" s="1"/>
  <c r="W3" s="1"/>
  <c r="X3" s="1"/>
  <c r="Y3" s="1"/>
  <c r="Z3" s="1"/>
  <c r="AA3" s="1"/>
  <c r="AB3" s="1"/>
  <c r="AC3" s="1"/>
  <c r="AD3" s="1"/>
  <c r="AE3" s="1"/>
  <c r="AF3" s="1"/>
  <c r="AG3" s="1"/>
  <c r="L3" i="65"/>
  <c r="M3" s="1"/>
  <c r="N3" s="1"/>
  <c r="O3" s="1"/>
  <c r="P3" s="1"/>
  <c r="Q3" s="1"/>
  <c r="R3" s="1"/>
  <c r="S3" s="1"/>
  <c r="T3" s="1"/>
  <c r="U3" s="1"/>
  <c r="V3" s="1"/>
  <c r="W3" s="1"/>
  <c r="X3" s="1"/>
  <c r="Y3" s="1"/>
  <c r="Z3" s="1"/>
  <c r="AA3" s="1"/>
  <c r="AB3" s="1"/>
  <c r="AC3" s="1"/>
  <c r="AD3" s="1"/>
  <c r="AE3" s="1"/>
  <c r="AF3" s="1"/>
  <c r="AG3" s="1"/>
  <c r="M3" i="66"/>
  <c r="N3" s="1"/>
  <c r="O3" s="1"/>
  <c r="P3" s="1"/>
  <c r="Q3" s="1"/>
  <c r="R3" s="1"/>
  <c r="S3" s="1"/>
  <c r="T3" s="1"/>
  <c r="U3" s="1"/>
  <c r="V3" s="1"/>
  <c r="W3" s="1"/>
  <c r="X3" s="1"/>
  <c r="Y3" s="1"/>
  <c r="Z3" s="1"/>
  <c r="AA3" s="1"/>
  <c r="AB3" s="1"/>
  <c r="AC3" s="1"/>
  <c r="AD3" s="1"/>
  <c r="AE3" s="1"/>
  <c r="AF3" s="1"/>
  <c r="AG3" s="1"/>
  <c r="L3"/>
  <c r="L3" i="50"/>
  <c r="M3" s="1"/>
  <c r="N3" s="1"/>
  <c r="O3" s="1"/>
  <c r="P3" s="1"/>
  <c r="Q3" s="1"/>
  <c r="R3" s="1"/>
  <c r="S3" s="1"/>
  <c r="T3" s="1"/>
  <c r="U3" s="1"/>
  <c r="V3" s="1"/>
  <c r="W3" s="1"/>
  <c r="X3" s="1"/>
  <c r="Y3" s="1"/>
  <c r="Z3" s="1"/>
  <c r="AA3" s="1"/>
  <c r="AB3" s="1"/>
  <c r="AC3" s="1"/>
  <c r="AD3" s="1"/>
  <c r="AE3" s="1"/>
  <c r="AF3" s="1"/>
  <c r="AG3" s="1"/>
  <c r="L3" i="51"/>
  <c r="M3" s="1"/>
  <c r="N3" s="1"/>
  <c r="O3" s="1"/>
  <c r="P3" s="1"/>
  <c r="Q3" s="1"/>
  <c r="R3" s="1"/>
  <c r="S3" s="1"/>
  <c r="T3" s="1"/>
  <c r="U3" s="1"/>
  <c r="V3" s="1"/>
  <c r="W3" s="1"/>
  <c r="X3" s="1"/>
  <c r="Y3" s="1"/>
  <c r="Z3" s="1"/>
  <c r="AA3" s="1"/>
  <c r="AB3" s="1"/>
  <c r="AC3" s="1"/>
  <c r="AD3" s="1"/>
  <c r="AE3" s="1"/>
  <c r="AF3" s="1"/>
  <c r="AG3" s="1"/>
  <c r="L3" i="1"/>
  <c r="M3" s="1"/>
  <c r="N3" s="1"/>
  <c r="O3" s="1"/>
  <c r="P3" s="1"/>
  <c r="Q3" s="1"/>
  <c r="R3" s="1"/>
  <c r="S3" s="1"/>
  <c r="T3" s="1"/>
  <c r="U3" s="1"/>
  <c r="V3" s="1"/>
  <c r="W3" s="1"/>
  <c r="X3" s="1"/>
  <c r="Y3" s="1"/>
  <c r="Z3" s="1"/>
  <c r="AA3" s="1"/>
  <c r="AB3" s="1"/>
  <c r="AC3" s="1"/>
  <c r="AD3" s="1"/>
  <c r="AE3" s="1"/>
  <c r="AF3" s="1"/>
  <c r="AG3" s="1"/>
  <c r="L3" i="49"/>
  <c r="M3" s="1"/>
  <c r="N3" s="1"/>
  <c r="O3" s="1"/>
  <c r="P3" s="1"/>
  <c r="Q3" s="1"/>
  <c r="R3" s="1"/>
  <c r="S3" s="1"/>
  <c r="T3" s="1"/>
  <c r="U3" s="1"/>
  <c r="V3" s="1"/>
  <c r="W3" s="1"/>
  <c r="X3" s="1"/>
  <c r="Y3" s="1"/>
  <c r="Z3" s="1"/>
  <c r="AA3" s="1"/>
  <c r="AB3" s="1"/>
  <c r="AC3" s="1"/>
  <c r="AD3" s="1"/>
  <c r="AE3" s="1"/>
  <c r="AF3" s="1"/>
  <c r="AG3" s="1"/>
  <c r="F33" i="64"/>
  <c r="V19" i="28" s="1"/>
  <c r="F33" i="60"/>
  <c r="V15" i="28" s="1"/>
  <c r="F33" i="59"/>
  <c r="N28" i="28" s="1"/>
  <c r="F33" i="48"/>
  <c r="F33" i="65"/>
  <c r="V23" i="28" s="1"/>
  <c r="F33" i="56"/>
  <c r="N23" i="28" s="1"/>
  <c r="F33" i="54"/>
  <c r="N15" i="28" s="1"/>
  <c r="F33" i="55"/>
  <c r="N19" i="28" s="1"/>
  <c r="F33" i="49"/>
  <c r="F23" i="28" s="1"/>
  <c r="F33" i="51"/>
  <c r="N32" i="28" l="1"/>
  <c r="F10"/>
  <c r="F33" i="66"/>
  <c r="V28" i="28" s="1"/>
  <c r="O15"/>
  <c r="W28"/>
  <c r="O10"/>
  <c r="W23"/>
  <c r="W19"/>
  <c r="O28"/>
  <c r="O23"/>
  <c r="W15"/>
  <c r="W10"/>
  <c r="V10"/>
  <c r="F15"/>
  <c r="F19"/>
  <c r="F28"/>
  <c r="V32" l="1"/>
  <c r="F32"/>
  <c r="G11" i="27"/>
  <c r="F9"/>
  <c r="F8"/>
  <c r="F2"/>
  <c r="F6"/>
  <c r="F5"/>
  <c r="F4"/>
  <c r="F3"/>
  <c r="F11" s="1"/>
  <c r="F34" i="23"/>
  <c r="F33"/>
  <c r="F32"/>
  <c r="F31"/>
  <c r="F30"/>
  <c r="F28"/>
  <c r="F27"/>
  <c r="F26"/>
  <c r="F25"/>
  <c r="F24"/>
  <c r="F23"/>
  <c r="F21"/>
  <c r="F20"/>
  <c r="F19"/>
  <c r="F18"/>
  <c r="F17"/>
  <c r="F16"/>
  <c r="F15"/>
  <c r="F14"/>
  <c r="F13"/>
  <c r="F12"/>
  <c r="F11"/>
  <c r="F10"/>
  <c r="F9"/>
  <c r="F8"/>
  <c r="F7"/>
  <c r="F6"/>
  <c r="F5"/>
  <c r="F4"/>
  <c r="F3"/>
  <c r="F35" s="1"/>
  <c r="F33" i="22"/>
  <c r="F32"/>
  <c r="F31"/>
  <c r="F30"/>
  <c r="F29"/>
  <c r="F28"/>
  <c r="F27"/>
  <c r="F26"/>
  <c r="F25"/>
  <c r="F24"/>
  <c r="F23"/>
  <c r="F22"/>
  <c r="F21"/>
  <c r="F20"/>
  <c r="F19"/>
  <c r="F18"/>
  <c r="F17"/>
  <c r="F16"/>
  <c r="F15"/>
  <c r="F14"/>
  <c r="F13"/>
  <c r="F12"/>
  <c r="F11"/>
  <c r="F10"/>
  <c r="F9"/>
  <c r="F8"/>
  <c r="F7"/>
  <c r="F6"/>
  <c r="F5"/>
  <c r="F4"/>
  <c r="F3"/>
  <c r="F32" i="21"/>
  <c r="F31"/>
  <c r="F30"/>
  <c r="F29"/>
  <c r="F28"/>
  <c r="F27"/>
  <c r="F26"/>
  <c r="F25"/>
  <c r="F24"/>
  <c r="F23"/>
  <c r="F22"/>
  <c r="F21"/>
  <c r="F20"/>
  <c r="F19"/>
  <c r="F18"/>
  <c r="F17"/>
  <c r="F16"/>
  <c r="F15"/>
  <c r="F14"/>
  <c r="F13"/>
  <c r="F12"/>
  <c r="F11"/>
  <c r="F10"/>
  <c r="F9"/>
  <c r="F8"/>
  <c r="F7"/>
  <c r="F33" s="1"/>
  <c r="F6"/>
  <c r="F5"/>
  <c r="F4"/>
  <c r="F3"/>
  <c r="Z32" i="28" l="1"/>
  <c r="G10"/>
  <c r="G28"/>
  <c r="G15"/>
  <c r="G23"/>
</calcChain>
</file>

<file path=xl/sharedStrings.xml><?xml version="1.0" encoding="utf-8"?>
<sst xmlns="http://schemas.openxmlformats.org/spreadsheetml/2006/main" count="435" uniqueCount="349">
  <si>
    <t>TOTAL</t>
  </si>
  <si>
    <t>MENTAL MATHS</t>
  </si>
  <si>
    <t>Double</t>
  </si>
  <si>
    <t>True or false</t>
  </si>
  <si>
    <t>5 x 10 =</t>
  </si>
  <si>
    <t>8 x 10 =</t>
  </si>
  <si>
    <t>3 x 10 =</t>
  </si>
  <si>
    <t>7 x 10 =</t>
  </si>
  <si>
    <t>700 x 10 =</t>
  </si>
  <si>
    <t>8 x 7 =</t>
  </si>
  <si>
    <t>3 x 7 =</t>
  </si>
  <si>
    <t>500 ÷ 10 =</t>
  </si>
  <si>
    <t>40 ÷ 10 =</t>
  </si>
  <si>
    <t>60 ÷ 10 =</t>
  </si>
  <si>
    <t>500 ÷ 100 =</t>
  </si>
  <si>
    <t>4 x 10 =</t>
  </si>
  <si>
    <t>9 x 10 =</t>
  </si>
  <si>
    <t>X</t>
  </si>
  <si>
    <t>Trees convert carbon dioxide into:</t>
  </si>
  <si>
    <t>Animals and humans breathe out:</t>
  </si>
  <si>
    <t>Many types of ____________ come from trees.</t>
  </si>
  <si>
    <t>What are the two types of trees?</t>
  </si>
  <si>
    <t>Which type of tree loses all its leaves during a season?</t>
  </si>
  <si>
    <t>What are the main parts of a tree?</t>
  </si>
  <si>
    <t xml:space="preserve">Why is a trunk important?
</t>
  </si>
  <si>
    <t>Trees are an important part of our world. They take carbon dioxide animals and humans breathe out (after taking in oxygen), and convert it back to oxygen. Trees provide shelter for different types of animals and insects. Trees are also used by humans to create homes, and planted in yards to provide shade. Many types of fruits and nuts come from trees. These include apples, oranges, walnuts, pears and peaches. The two main types of trees are deciduous and evergreen. Deciduous trees lose all of their leaves during certain seasons. Evergreen trees don't lose all of their leaves during any season. The main parts of a tree are root, crown, leaves, branches, and trunk. The trunk is important because it delivers water and tree food from the soil and sugar from the leaves.</t>
  </si>
  <si>
    <t>A  Trees, B  Food, C  Earth, D  Oxygen,</t>
  </si>
  <si>
    <t>A  Carbon dioxide, B  Oxygen. C  Food. D  Wind</t>
  </si>
  <si>
    <t>D</t>
  </si>
  <si>
    <t>A</t>
  </si>
  <si>
    <t>C</t>
  </si>
  <si>
    <t>B</t>
  </si>
  <si>
    <t>A  Loses its leaves, B  Delivers water and tree food,  C  Creates shade, D  Smells funny</t>
  </si>
  <si>
    <t>A  food and leaves, B  trunks and leaves, C  berries and roots,           D fruits and nuts</t>
  </si>
  <si>
    <t>A  Evergreen and food, B  Oxygen and carbon dioxide,          C  Deciduous and evergreen, D  Trunk and root</t>
  </si>
  <si>
    <t>A  Evergreen, B  Both evergreen and deciduous,                      C  Oxygen, D  Deciduous.</t>
  </si>
  <si>
    <r>
      <t xml:space="preserve">A  </t>
    </r>
    <r>
      <rPr>
        <sz val="14"/>
        <color rgb="FF0000FF"/>
        <rFont val="Calibri"/>
        <family val="2"/>
        <scheme val="minor"/>
      </rPr>
      <t>Oxygen, carbon dioxide and air,</t>
    </r>
    <r>
      <rPr>
        <sz val="14"/>
        <color theme="1"/>
        <rFont val="Calibri"/>
        <family val="2"/>
        <scheme val="minor"/>
      </rPr>
      <t xml:space="preserve">  B </t>
    </r>
    <r>
      <rPr>
        <sz val="14"/>
        <color rgb="FFFF0000"/>
        <rFont val="Calibri"/>
        <family val="2"/>
        <scheme val="minor"/>
      </rPr>
      <t xml:space="preserve"> Fruits and nuts,</t>
    </r>
    <r>
      <rPr>
        <sz val="14"/>
        <color theme="1"/>
        <rFont val="Calibri"/>
        <family val="2"/>
        <scheme val="minor"/>
      </rPr>
      <t xml:space="preserve">         C  </t>
    </r>
    <r>
      <rPr>
        <sz val="14"/>
        <color theme="9" tint="-0.499984740745262"/>
        <rFont val="Calibri"/>
        <family val="2"/>
        <scheme val="minor"/>
      </rPr>
      <t>Root, crown, leaves, branches, and trunk,</t>
    </r>
    <r>
      <rPr>
        <sz val="14"/>
        <color theme="1"/>
        <rFont val="Calibri"/>
        <family val="2"/>
        <scheme val="minor"/>
      </rPr>
      <t xml:space="preserve">    D  Trunk and food</t>
    </r>
  </si>
  <si>
    <t xml:space="preserve"> </t>
  </si>
  <si>
    <t>Time</t>
  </si>
  <si>
    <t>Score</t>
  </si>
  <si>
    <t xml:space="preserve">97 + 5 = </t>
  </si>
  <si>
    <t xml:space="preserve">997 + 5 = </t>
  </si>
  <si>
    <t>98 + 4 =</t>
  </si>
  <si>
    <t>99 + 3 =</t>
  </si>
  <si>
    <t>1 099 + 3 =</t>
  </si>
  <si>
    <t>190 + 100 =</t>
  </si>
  <si>
    <t>190 + 1 000 =</t>
  </si>
  <si>
    <t>199 + 10 =</t>
  </si>
  <si>
    <t>199 + 100 =</t>
  </si>
  <si>
    <t>199 + 1 000 =</t>
  </si>
  <si>
    <t>399 - 10 =</t>
  </si>
  <si>
    <t xml:space="preserve">8 210 - 10 = </t>
  </si>
  <si>
    <t xml:space="preserve">8 210 - 1 000 = </t>
  </si>
  <si>
    <t xml:space="preserve">14 + 10 = </t>
  </si>
  <si>
    <t xml:space="preserve">1 400 + 10 = </t>
  </si>
  <si>
    <t xml:space="preserve">1 450 + 10 = </t>
  </si>
  <si>
    <t>50 x 40 =</t>
  </si>
  <si>
    <t xml:space="preserve">700 x 10 = </t>
  </si>
  <si>
    <t>500 x 10 =</t>
  </si>
  <si>
    <t xml:space="preserve">600 x 10 = </t>
  </si>
  <si>
    <t xml:space="preserve">48 + 52 = </t>
  </si>
  <si>
    <t xml:space="preserve">52 + 48 = </t>
  </si>
  <si>
    <t xml:space="preserve">86 + 14 = </t>
  </si>
  <si>
    <t xml:space="preserve">45 + 55 = </t>
  </si>
  <si>
    <t xml:space="preserve">74 + 26 = </t>
  </si>
  <si>
    <t xml:space="preserve">100 - 28 = </t>
  </si>
  <si>
    <t xml:space="preserve">100 - 68 = </t>
  </si>
  <si>
    <t xml:space="preserve">100-85 = </t>
  </si>
  <si>
    <t xml:space="preserve">100 - 35 = </t>
  </si>
  <si>
    <t>100 - 74 =</t>
  </si>
  <si>
    <t xml:space="preserve">150 + 50 = </t>
  </si>
  <si>
    <t xml:space="preserve">330 + 70 = </t>
  </si>
  <si>
    <t xml:space="preserve">660 + 40 = </t>
  </si>
  <si>
    <t xml:space="preserve">870 + 30 = </t>
  </si>
  <si>
    <t xml:space="preserve">920 + 80 = </t>
  </si>
  <si>
    <t xml:space="preserve">200 - 20 - </t>
  </si>
  <si>
    <t xml:space="preserve">400 - 90 = </t>
  </si>
  <si>
    <t xml:space="preserve">600 - 60 = </t>
  </si>
  <si>
    <t xml:space="preserve">300 - 10 = </t>
  </si>
  <si>
    <t xml:space="preserve">100 - 20 = </t>
  </si>
  <si>
    <t xml:space="preserve">215 + 85 = </t>
  </si>
  <si>
    <t xml:space="preserve">885 + 15 = </t>
  </si>
  <si>
    <t xml:space="preserve">595 + 5 = </t>
  </si>
  <si>
    <t xml:space="preserve">365 + 35 = </t>
  </si>
  <si>
    <t xml:space="preserve">750 + 50 = </t>
  </si>
  <si>
    <t xml:space="preserve">200 - 15 = </t>
  </si>
  <si>
    <t xml:space="preserve">400 - 40 = </t>
  </si>
  <si>
    <t xml:space="preserve">500 - 50 = </t>
  </si>
  <si>
    <t xml:space="preserve">700 - 90 = </t>
  </si>
  <si>
    <t xml:space="preserve">800 - 60 = </t>
  </si>
  <si>
    <t>1 600 + 200 =</t>
  </si>
  <si>
    <t>1 150 + 200 =</t>
  </si>
  <si>
    <t xml:space="preserve">1 300 + 400 = </t>
  </si>
  <si>
    <t xml:space="preserve">2 590 + 100 = </t>
  </si>
  <si>
    <t xml:space="preserve">1 680 + 200 = </t>
  </si>
  <si>
    <t xml:space="preserve">2 640 + 300 = </t>
  </si>
  <si>
    <t xml:space="preserve">2 720 + 100 = </t>
  </si>
  <si>
    <t xml:space="preserve">9 580 + 300 - </t>
  </si>
  <si>
    <t xml:space="preserve">7 430 + 500 = </t>
  </si>
  <si>
    <t xml:space="preserve">6 800 - 300 = </t>
  </si>
  <si>
    <t xml:space="preserve">5 450 - 100 = </t>
  </si>
  <si>
    <t xml:space="preserve">4 320 - 200 = </t>
  </si>
  <si>
    <t xml:space="preserve">3 990 - 400 = </t>
  </si>
  <si>
    <t xml:space="preserve">8 700 - 500 = </t>
  </si>
  <si>
    <t xml:space="preserve">6 250 - 200 = </t>
  </si>
  <si>
    <t xml:space="preserve">7 430 + 60 = </t>
  </si>
  <si>
    <t xml:space="preserve">3 250 + 20 = </t>
  </si>
  <si>
    <t xml:space="preserve">1840 + 40 = </t>
  </si>
  <si>
    <t xml:space="preserve">4 220 + 70 = </t>
  </si>
  <si>
    <t xml:space="preserve">1 130 + 40 = </t>
  </si>
  <si>
    <t>8 900 - 50 =</t>
  </si>
  <si>
    <t xml:space="preserve">2 350 - 50 = </t>
  </si>
  <si>
    <t xml:space="preserve">1 670 - 40 = </t>
  </si>
  <si>
    <t xml:space="preserve">3 500 - 50 = </t>
  </si>
  <si>
    <t xml:space="preserve">1 780 - 30 = </t>
  </si>
  <si>
    <t xml:space="preserve">1 456 + 5 = </t>
  </si>
  <si>
    <t xml:space="preserve">2 397 + 4 = </t>
  </si>
  <si>
    <t xml:space="preserve">3 126 + 9 = </t>
  </si>
  <si>
    <t xml:space="preserve">1 507 + 3 = </t>
  </si>
  <si>
    <t xml:space="preserve">4 288 + 5 = </t>
  </si>
  <si>
    <t>Round off to nearest 10</t>
  </si>
  <si>
    <t>Round off to nearest 100</t>
  </si>
  <si>
    <t>Round off to nearest 1000</t>
  </si>
  <si>
    <t>Name:</t>
  </si>
  <si>
    <t xml:space="preserve">1 097 + 5 = </t>
  </si>
  <si>
    <t>998 + 4 =</t>
  </si>
  <si>
    <t>1098 + 4=</t>
  </si>
  <si>
    <t xml:space="preserve">999 + 3 = </t>
  </si>
  <si>
    <t>1 102 - 3 =</t>
  </si>
  <si>
    <t>190 + 10 =</t>
  </si>
  <si>
    <t xml:space="preserve">8 211 + 10 = </t>
  </si>
  <si>
    <t>8 210 + 100 =</t>
  </si>
  <si>
    <t>8 210 + 1 000 =</t>
  </si>
  <si>
    <t>140 + 10 =</t>
  </si>
  <si>
    <t>40 x 20 =</t>
  </si>
  <si>
    <t>20 x 40 =</t>
  </si>
  <si>
    <t>40 x 40 =</t>
  </si>
  <si>
    <t>40 x 60 =</t>
  </si>
  <si>
    <t>30 x 20 =</t>
  </si>
  <si>
    <t>30 x 30 =</t>
  </si>
  <si>
    <t>20 x 30 =</t>
  </si>
  <si>
    <t>30 x 50 =</t>
  </si>
  <si>
    <t>20 x 60 =</t>
  </si>
  <si>
    <t>10 x 70 =</t>
  </si>
  <si>
    <t>10 x 80 =</t>
  </si>
  <si>
    <t>10 x 90 =</t>
  </si>
  <si>
    <t>70 x 10 =</t>
  </si>
  <si>
    <t>70 x 20 =</t>
  </si>
  <si>
    <t>20 x 50 =</t>
  </si>
  <si>
    <t>30 x 40 =</t>
  </si>
  <si>
    <t>40 x 30 =</t>
  </si>
  <si>
    <t>90 x 10 =</t>
  </si>
  <si>
    <t>900 X 10 =</t>
  </si>
  <si>
    <t>50 x 10 =</t>
  </si>
  <si>
    <t>600 x 10 =</t>
  </si>
  <si>
    <t>48 + 52 =</t>
  </si>
  <si>
    <t>52 + 48 =</t>
  </si>
  <si>
    <t>86 + 14 =</t>
  </si>
  <si>
    <t>45 + 55 =</t>
  </si>
  <si>
    <t>74 + 26 =</t>
  </si>
  <si>
    <t>100 - 28 =</t>
  </si>
  <si>
    <t>100 - 68 =</t>
  </si>
  <si>
    <t>100 - 85 =</t>
  </si>
  <si>
    <t>100 - 35 =</t>
  </si>
  <si>
    <t>150 + 50 =</t>
  </si>
  <si>
    <t>330 + 70 =</t>
  </si>
  <si>
    <t>660 + 40 =</t>
  </si>
  <si>
    <t>870 + 30 =</t>
  </si>
  <si>
    <t>920 + 80 =</t>
  </si>
  <si>
    <t>200 - 20 =</t>
  </si>
  <si>
    <t>400 - 90 =</t>
  </si>
  <si>
    <t>600 - 60 =</t>
  </si>
  <si>
    <t>300 - 10 =</t>
  </si>
  <si>
    <t>100 - 20 =</t>
  </si>
  <si>
    <t>215 + 85 =</t>
  </si>
  <si>
    <t>885 + 15 =</t>
  </si>
  <si>
    <t>595 + 5 =</t>
  </si>
  <si>
    <t>365 + 35 =</t>
  </si>
  <si>
    <t>750 + 50 =</t>
  </si>
  <si>
    <t>200 - 15 =</t>
  </si>
  <si>
    <t>400 - 40 =</t>
  </si>
  <si>
    <t>500 - 50 =</t>
  </si>
  <si>
    <t>700 - 90 =</t>
  </si>
  <si>
    <t>800 - 60 =</t>
  </si>
  <si>
    <t>1 300 + 400 =</t>
  </si>
  <si>
    <t>2 590 + 100 =</t>
  </si>
  <si>
    <t>1 680 + 200 =</t>
  </si>
  <si>
    <t>2 640 + 300 =</t>
  </si>
  <si>
    <t>2 720 + 100 =</t>
  </si>
  <si>
    <t>9 580 + 300 =</t>
  </si>
  <si>
    <t>7 430 + 500 =</t>
  </si>
  <si>
    <t>6 800 - 300 =</t>
  </si>
  <si>
    <t>5 450 - 100 =</t>
  </si>
  <si>
    <t>4 320 - 200 =</t>
  </si>
  <si>
    <t>3 990 - 400 =</t>
  </si>
  <si>
    <t>8 700 - 500 =</t>
  </si>
  <si>
    <t>6 250 - 200 =</t>
  </si>
  <si>
    <t>7 430 + 60 =</t>
  </si>
  <si>
    <t>3 250 + 20 =</t>
  </si>
  <si>
    <t>1 840 + 40 =</t>
  </si>
  <si>
    <t>4 220 + 70 =</t>
  </si>
  <si>
    <t>1 130 + 40 =</t>
  </si>
  <si>
    <t>2 350 - 50 =</t>
  </si>
  <si>
    <t>1 670 - 40 =</t>
  </si>
  <si>
    <t>3 500 - 50 =</t>
  </si>
  <si>
    <t>1 780 - 30 =</t>
  </si>
  <si>
    <t>1 456 + 5 =</t>
  </si>
  <si>
    <t>2 397 + 4 =</t>
  </si>
  <si>
    <t>3 126 + 9 =</t>
  </si>
  <si>
    <t>1 507 + 3 =</t>
  </si>
  <si>
    <t>4 288 + 5 =</t>
  </si>
  <si>
    <t>80 -72 =</t>
  </si>
  <si>
    <t>10 x 10 =</t>
  </si>
  <si>
    <t>6 x 10 =</t>
  </si>
  <si>
    <t>600 ÷ 10 =</t>
  </si>
  <si>
    <t xml:space="preserve">600 ÷ 100 = </t>
  </si>
  <si>
    <t>700 ÷ 10 =</t>
  </si>
  <si>
    <t>700 ÷ 100 =</t>
  </si>
  <si>
    <t>800 ÷ 10 =</t>
  </si>
  <si>
    <t>800 ÷ 100 =</t>
  </si>
  <si>
    <t>900 ÷ 10 =</t>
  </si>
  <si>
    <t>900 ÷  9 =</t>
  </si>
  <si>
    <t>9 x 100 =</t>
  </si>
  <si>
    <t>7 x 100 =</t>
  </si>
  <si>
    <t>5 x 100 =</t>
  </si>
  <si>
    <t>8 x 100 =</t>
  </si>
  <si>
    <t xml:space="preserve">4 x 7 = </t>
  </si>
  <si>
    <t>6 x 7 =</t>
  </si>
  <si>
    <t>5 x 7 =</t>
  </si>
  <si>
    <t>10 x 7 =</t>
  </si>
  <si>
    <t>7 x 7 =</t>
  </si>
  <si>
    <t>9 x 7 =</t>
  </si>
  <si>
    <t>2 x 7 =</t>
  </si>
  <si>
    <t>28 ÷ 7 =</t>
  </si>
  <si>
    <t>42 ÷ 7 =</t>
  </si>
  <si>
    <t>56 ÷ 7 =</t>
  </si>
  <si>
    <t>7 ÷ 7 =</t>
  </si>
  <si>
    <t>7 + 7 + 7 + 7 =</t>
  </si>
  <si>
    <t>49 + 7 =</t>
  </si>
  <si>
    <t>63 - 7 =</t>
  </si>
  <si>
    <t>35 + 7 =</t>
  </si>
  <si>
    <t>42 + 7 + 7 =</t>
  </si>
  <si>
    <t>14 + 7 + 7 =</t>
  </si>
  <si>
    <t>63 + 7 + 7 =</t>
  </si>
  <si>
    <t>56 - 7 =</t>
  </si>
  <si>
    <t>How many 5s in</t>
  </si>
  <si>
    <t>How many 3s in</t>
  </si>
  <si>
    <t>4 x 3 =</t>
  </si>
  <si>
    <t>9 x 3 =</t>
  </si>
  <si>
    <t>10 x 3 =</t>
  </si>
  <si>
    <t>3 x 8 =</t>
  </si>
  <si>
    <t>Replace » with &gt;, &lt; or =</t>
  </si>
  <si>
    <t>3x4 .... 4x3</t>
  </si>
  <si>
    <t>5 x 4 .... 7x3</t>
  </si>
  <si>
    <t>4 + 9 .... 6x2</t>
  </si>
  <si>
    <t>11-5 .... 3x2</t>
  </si>
  <si>
    <t>6 x 3 .... 7 + 8</t>
  </si>
  <si>
    <t>4 x 2 .... 12-5</t>
  </si>
  <si>
    <t>35 + 5 .... 8 + 3</t>
  </si>
  <si>
    <t>6 + 6 .... 4x3</t>
  </si>
  <si>
    <t>6 x 5 .... 4x8</t>
  </si>
  <si>
    <t>13-6 .... 2x4</t>
  </si>
  <si>
    <t>Round off to nearest 1 000</t>
  </si>
  <si>
    <t>=</t>
  </si>
  <si>
    <t>&lt;</t>
  </si>
  <si>
    <t>&gt;</t>
  </si>
  <si>
    <t>How many 6s in</t>
  </si>
  <si>
    <t xml:space="preserve">50 ÷ 10 = </t>
  </si>
  <si>
    <t xml:space="preserve">90 ÷ 10 = </t>
  </si>
  <si>
    <r>
      <t xml:space="preserve">100 </t>
    </r>
    <r>
      <rPr>
        <sz val="24"/>
        <color theme="1"/>
        <rFont val="Calibri"/>
        <family val="2"/>
      </rPr>
      <t>÷ 10 =</t>
    </r>
  </si>
  <si>
    <t>25 + 25</t>
  </si>
  <si>
    <r>
      <t xml:space="preserve">21 </t>
    </r>
    <r>
      <rPr>
        <sz val="24"/>
        <color theme="1"/>
        <rFont val="Calibri"/>
        <family val="2"/>
      </rPr>
      <t>÷</t>
    </r>
    <r>
      <rPr>
        <sz val="24"/>
        <color theme="1"/>
        <rFont val="Calibri"/>
        <family val="2"/>
        <scheme val="minor"/>
      </rPr>
      <t xml:space="preserve"> 7 =</t>
    </r>
  </si>
  <si>
    <t>5 x 3 =</t>
  </si>
  <si>
    <r>
      <t xml:space="preserve">9 </t>
    </r>
    <r>
      <rPr>
        <sz val="24"/>
        <color theme="1"/>
        <rFont val="Calibri"/>
        <family val="2"/>
      </rPr>
      <t>÷</t>
    </r>
    <r>
      <rPr>
        <sz val="24"/>
        <color theme="1"/>
        <rFont val="Calibri"/>
        <family val="2"/>
        <scheme val="minor"/>
      </rPr>
      <t xml:space="preserve"> 3 =</t>
    </r>
  </si>
  <si>
    <r>
      <t xml:space="preserve">18 </t>
    </r>
    <r>
      <rPr>
        <sz val="24"/>
        <color theme="1"/>
        <rFont val="Calibri"/>
        <family val="2"/>
      </rPr>
      <t>÷</t>
    </r>
    <r>
      <rPr>
        <sz val="24"/>
        <color theme="1"/>
        <rFont val="Calibri"/>
        <family val="2"/>
        <scheme val="minor"/>
      </rPr>
      <t xml:space="preserve"> 6 =</t>
    </r>
  </si>
  <si>
    <r>
      <t xml:space="preserve">24 </t>
    </r>
    <r>
      <rPr>
        <sz val="24"/>
        <color theme="1"/>
        <rFont val="Calibri"/>
        <family val="2"/>
      </rPr>
      <t>÷</t>
    </r>
    <r>
      <rPr>
        <sz val="24"/>
        <color theme="1"/>
        <rFont val="Calibri"/>
        <family val="2"/>
        <scheme val="minor"/>
      </rPr>
      <t xml:space="preserve"> 8 =</t>
    </r>
  </si>
  <si>
    <t>2 x 8 =</t>
  </si>
  <si>
    <t>36</t>
  </si>
  <si>
    <t>48</t>
  </si>
  <si>
    <t>3, 6, 9,</t>
  </si>
  <si>
    <t>9, 7, 5,</t>
  </si>
  <si>
    <t>1, 5, 9,</t>
  </si>
  <si>
    <t>20, 17, 14,</t>
  </si>
  <si>
    <t>547 + 40 =</t>
  </si>
  <si>
    <t>210 + 26 =</t>
  </si>
  <si>
    <t>820 + 36 =</t>
  </si>
  <si>
    <t>98 + 300 =</t>
  </si>
  <si>
    <t>659 + 30 =</t>
  </si>
  <si>
    <t>336 + 50 =</t>
  </si>
  <si>
    <t>610 + 58 =</t>
  </si>
  <si>
    <t>440 + 59 =</t>
  </si>
  <si>
    <t>125 + 65 =</t>
  </si>
  <si>
    <t>120 + 75 =</t>
  </si>
  <si>
    <t>530 + 35 =</t>
  </si>
  <si>
    <t>230 + 65</t>
  </si>
  <si>
    <t>6 x 0 =</t>
  </si>
  <si>
    <t>50 + 17 =</t>
  </si>
  <si>
    <t>6</t>
  </si>
  <si>
    <t>8</t>
  </si>
  <si>
    <t>6 x 3 =</t>
  </si>
  <si>
    <t>4 x 6 =</t>
  </si>
  <si>
    <t>8 x 9 =</t>
  </si>
  <si>
    <t>5 x 5 =</t>
  </si>
  <si>
    <t>8 x 4 =</t>
  </si>
  <si>
    <t>7 x 8 =</t>
  </si>
  <si>
    <t>4 x 9 =</t>
  </si>
  <si>
    <t>8 x 8 =</t>
  </si>
  <si>
    <t>How many 4s in</t>
  </si>
  <si>
    <t xml:space="preserve">60 x 10 = </t>
  </si>
  <si>
    <t xml:space="preserve">6 x 10 = </t>
  </si>
  <si>
    <t>102 - 3 =</t>
  </si>
  <si>
    <t>1 002 - 3 =</t>
  </si>
  <si>
    <t>399 - 100 =</t>
  </si>
  <si>
    <t xml:space="preserve">8 210 -100 = </t>
  </si>
  <si>
    <t>Finnished</t>
  </si>
  <si>
    <t>WEEK 1</t>
  </si>
  <si>
    <t>WEEK 2</t>
  </si>
  <si>
    <t>WEEK 3</t>
  </si>
  <si>
    <t>70 - 63 =</t>
  </si>
  <si>
    <r>
      <t xml:space="preserve">30 </t>
    </r>
    <r>
      <rPr>
        <sz val="24"/>
        <color theme="1"/>
        <rFont val="Calibri"/>
        <family val="2"/>
      </rPr>
      <t>÷</t>
    </r>
    <r>
      <rPr>
        <sz val="24"/>
        <color theme="1"/>
        <rFont val="Calibri"/>
        <family val="2"/>
        <scheme val="minor"/>
      </rPr>
      <t xml:space="preserve"> 10 =</t>
    </r>
  </si>
  <si>
    <t>1 x 7 =</t>
  </si>
  <si>
    <t>0 x 7 =</t>
  </si>
  <si>
    <r>
      <t xml:space="preserve">63 </t>
    </r>
    <r>
      <rPr>
        <sz val="24"/>
        <color theme="1"/>
        <rFont val="Calibri"/>
        <family val="2"/>
      </rPr>
      <t>÷</t>
    </r>
    <r>
      <rPr>
        <sz val="24"/>
        <color theme="1"/>
        <rFont val="Calibri"/>
        <family val="2"/>
        <scheme val="minor"/>
      </rPr>
      <t xml:space="preserve"> 7 =</t>
    </r>
  </si>
  <si>
    <r>
      <t xml:space="preserve">35 </t>
    </r>
    <r>
      <rPr>
        <sz val="24"/>
        <color theme="1"/>
        <rFont val="Calibri"/>
        <family val="2"/>
      </rPr>
      <t>÷</t>
    </r>
    <r>
      <rPr>
        <sz val="24"/>
        <color theme="1"/>
        <rFont val="Calibri"/>
        <family val="2"/>
        <scheme val="minor"/>
      </rPr>
      <t xml:space="preserve"> 7 = </t>
    </r>
  </si>
  <si>
    <r>
      <t xml:space="preserve">14 </t>
    </r>
    <r>
      <rPr>
        <sz val="24"/>
        <color theme="1"/>
        <rFont val="Calibri"/>
        <family val="2"/>
      </rPr>
      <t>÷</t>
    </r>
    <r>
      <rPr>
        <sz val="24"/>
        <color theme="1"/>
        <rFont val="Calibri"/>
        <family val="2"/>
        <scheme val="minor"/>
      </rPr>
      <t xml:space="preserve"> 7 = </t>
    </r>
  </si>
  <si>
    <r>
      <t xml:space="preserve">49 </t>
    </r>
    <r>
      <rPr>
        <sz val="24"/>
        <color theme="1"/>
        <rFont val="Calibri"/>
        <family val="2"/>
      </rPr>
      <t xml:space="preserve">÷ </t>
    </r>
    <r>
      <rPr>
        <sz val="24"/>
        <color theme="1"/>
        <rFont val="Calibri"/>
        <family val="2"/>
        <scheme val="minor"/>
      </rPr>
      <t xml:space="preserve">7 = </t>
    </r>
  </si>
  <si>
    <t>28 - 7 =</t>
  </si>
  <si>
    <t>21 - 7 =</t>
  </si>
  <si>
    <t>2, 5, 8,</t>
  </si>
  <si>
    <t>Complete  (1 number)</t>
  </si>
  <si>
    <t>21, 18, 15,</t>
  </si>
  <si>
    <r>
      <t xml:space="preserve">15 </t>
    </r>
    <r>
      <rPr>
        <sz val="24"/>
        <color theme="1"/>
        <rFont val="Calibri"/>
        <family val="2"/>
      </rPr>
      <t>÷</t>
    </r>
    <r>
      <rPr>
        <sz val="24"/>
        <color theme="1"/>
        <rFont val="Calibri"/>
        <family val="2"/>
        <scheme val="minor"/>
      </rPr>
      <t xml:space="preserve"> 5 =</t>
    </r>
  </si>
  <si>
    <r>
      <t xml:space="preserve">20 </t>
    </r>
    <r>
      <rPr>
        <sz val="24"/>
        <color theme="1"/>
        <rFont val="Calibri"/>
        <family val="2"/>
      </rPr>
      <t>÷</t>
    </r>
    <r>
      <rPr>
        <sz val="24"/>
        <color theme="1"/>
        <rFont val="Calibri"/>
        <family val="2"/>
        <scheme val="minor"/>
      </rPr>
      <t xml:space="preserve"> 5 =</t>
    </r>
  </si>
  <si>
    <r>
      <t xml:space="preserve">50 </t>
    </r>
    <r>
      <rPr>
        <sz val="24"/>
        <color theme="1"/>
        <rFont val="Calibri"/>
        <family val="2"/>
      </rPr>
      <t>÷</t>
    </r>
    <r>
      <rPr>
        <sz val="24"/>
        <color theme="1"/>
        <rFont val="Calibri"/>
        <family val="2"/>
        <scheme val="minor"/>
      </rPr>
      <t xml:space="preserve"> 5 =</t>
    </r>
  </si>
  <si>
    <r>
      <t xml:space="preserve">32 </t>
    </r>
    <r>
      <rPr>
        <sz val="24"/>
        <color theme="1"/>
        <rFont val="Calibri"/>
        <family val="2"/>
      </rPr>
      <t>÷</t>
    </r>
    <r>
      <rPr>
        <sz val="24"/>
        <color theme="1"/>
        <rFont val="Calibri"/>
        <family val="2"/>
        <scheme val="minor"/>
      </rPr>
      <t xml:space="preserve"> 4 =</t>
    </r>
  </si>
  <si>
    <r>
      <t xml:space="preserve">49 </t>
    </r>
    <r>
      <rPr>
        <sz val="24"/>
        <color theme="1"/>
        <rFont val="Calibri"/>
        <family val="2"/>
      </rPr>
      <t xml:space="preserve">÷ </t>
    </r>
    <r>
      <rPr>
        <sz val="24"/>
        <color theme="1"/>
        <rFont val="Calibri"/>
        <family val="2"/>
        <scheme val="minor"/>
      </rPr>
      <t>7 =</t>
    </r>
  </si>
  <si>
    <r>
      <t xml:space="preserve">64 </t>
    </r>
    <r>
      <rPr>
        <sz val="24"/>
        <color theme="1"/>
        <rFont val="Calibri"/>
        <family val="2"/>
      </rPr>
      <t>÷</t>
    </r>
    <r>
      <rPr>
        <sz val="24"/>
        <color theme="1"/>
        <rFont val="Calibri"/>
        <family val="2"/>
        <scheme val="minor"/>
      </rPr>
      <t xml:space="preserve"> 8 =</t>
    </r>
  </si>
  <si>
    <r>
      <t xml:space="preserve">45 </t>
    </r>
    <r>
      <rPr>
        <sz val="24"/>
        <color theme="1"/>
        <rFont val="Calibri"/>
        <family val="2"/>
      </rPr>
      <t>÷</t>
    </r>
    <r>
      <rPr>
        <sz val="24"/>
        <color theme="1"/>
        <rFont val="Calibri"/>
        <family val="2"/>
        <scheme val="minor"/>
      </rPr>
      <t xml:space="preserve"> 9 =</t>
    </r>
  </si>
  <si>
    <r>
      <t xml:space="preserve">63 </t>
    </r>
    <r>
      <rPr>
        <sz val="24"/>
        <color theme="1"/>
        <rFont val="Calibri"/>
        <family val="2"/>
      </rPr>
      <t>÷</t>
    </r>
    <r>
      <rPr>
        <sz val="24"/>
        <color theme="1"/>
        <rFont val="Calibri"/>
        <family val="2"/>
        <scheme val="minor"/>
      </rPr>
      <t xml:space="preserve"> 9 =</t>
    </r>
  </si>
  <si>
    <r>
      <t xml:space="preserve">30 </t>
    </r>
    <r>
      <rPr>
        <sz val="24"/>
        <color theme="1"/>
        <rFont val="Calibri"/>
        <family val="2"/>
      </rPr>
      <t>÷</t>
    </r>
    <r>
      <rPr>
        <sz val="24"/>
        <color theme="1"/>
        <rFont val="Calibri"/>
        <family val="2"/>
        <scheme val="minor"/>
      </rPr>
      <t xml:space="preserve"> 3 =</t>
    </r>
  </si>
  <si>
    <r>
      <t xml:space="preserve">40 </t>
    </r>
    <r>
      <rPr>
        <sz val="24"/>
        <color theme="1"/>
        <rFont val="Calibri"/>
        <family val="2"/>
      </rPr>
      <t>÷</t>
    </r>
    <r>
      <rPr>
        <sz val="24"/>
        <color theme="1"/>
        <rFont val="Calibri"/>
        <family val="2"/>
        <scheme val="minor"/>
      </rPr>
      <t xml:space="preserve"> 8 =</t>
    </r>
  </si>
  <si>
    <r>
      <t xml:space="preserve">36 </t>
    </r>
    <r>
      <rPr>
        <sz val="24"/>
        <color theme="1"/>
        <rFont val="Calibri"/>
        <family val="2"/>
      </rPr>
      <t>÷</t>
    </r>
    <r>
      <rPr>
        <sz val="24"/>
        <color theme="1"/>
        <rFont val="Calibri"/>
        <family val="2"/>
        <scheme val="minor"/>
      </rPr>
      <t xml:space="preserve"> 4 =</t>
    </r>
  </si>
  <si>
    <t>40 ÷ 8 =</t>
  </si>
  <si>
    <t>50 ÷ 10 =</t>
  </si>
  <si>
    <t>30 ÷ 5 =</t>
  </si>
  <si>
    <t>12 ÷ 3 =</t>
  </si>
  <si>
    <t>24 ÷ 8 =</t>
  </si>
  <si>
    <t>27 ÷ 9 =</t>
  </si>
  <si>
    <t xml:space="preserve">1B MENTAL MATHS  </t>
  </si>
</sst>
</file>

<file path=xl/styles.xml><?xml version="1.0" encoding="utf-8"?>
<styleSheet xmlns="http://schemas.openxmlformats.org/spreadsheetml/2006/main">
  <fonts count="34">
    <font>
      <sz val="11"/>
      <color theme="1"/>
      <name val="Calibri"/>
      <family val="2"/>
      <scheme val="minor"/>
    </font>
    <font>
      <sz val="22"/>
      <color theme="1"/>
      <name val="Calibri"/>
      <family val="2"/>
      <scheme val="minor"/>
    </font>
    <font>
      <sz val="24"/>
      <color theme="1"/>
      <name val="Calibri"/>
      <family val="2"/>
      <scheme val="minor"/>
    </font>
    <font>
      <b/>
      <sz val="22"/>
      <color rgb="FFFF0000"/>
      <name val="Calibri"/>
      <family val="2"/>
      <scheme val="minor"/>
    </font>
    <font>
      <sz val="20"/>
      <color theme="1"/>
      <name val="Calibri"/>
      <family val="2"/>
      <scheme val="minor"/>
    </font>
    <font>
      <sz val="26"/>
      <color theme="1"/>
      <name val="Calibri"/>
      <family val="2"/>
      <scheme val="minor"/>
    </font>
    <font>
      <sz val="48"/>
      <color rgb="FFFF0000"/>
      <name val="Calibri"/>
      <family val="2"/>
      <scheme val="minor"/>
    </font>
    <font>
      <b/>
      <i/>
      <u/>
      <sz val="18"/>
      <color rgb="FFFF0000"/>
      <name val="Calibri"/>
      <family val="2"/>
      <scheme val="minor"/>
    </font>
    <font>
      <sz val="24"/>
      <color theme="1"/>
      <name val="Calibri"/>
      <family val="2"/>
    </font>
    <font>
      <b/>
      <i/>
      <u/>
      <sz val="28"/>
      <color rgb="FFFF0000"/>
      <name val="Calibri"/>
      <family val="2"/>
      <scheme val="minor"/>
    </font>
    <font>
      <sz val="22"/>
      <name val="Calibri"/>
      <family val="2"/>
      <scheme val="minor"/>
    </font>
    <font>
      <sz val="14"/>
      <color theme="1"/>
      <name val="Calibri"/>
      <family val="2"/>
      <scheme val="minor"/>
    </font>
    <font>
      <sz val="16"/>
      <color theme="1"/>
      <name val="Calibri"/>
      <family val="2"/>
      <scheme val="minor"/>
    </font>
    <font>
      <sz val="18"/>
      <color theme="1"/>
      <name val="Calibri"/>
      <family val="2"/>
      <scheme val="minor"/>
    </font>
    <font>
      <b/>
      <sz val="18"/>
      <color rgb="FFFF0000"/>
      <name val="Calibri"/>
      <family val="2"/>
      <scheme val="minor"/>
    </font>
    <font>
      <sz val="14"/>
      <color rgb="FF0000FF"/>
      <name val="Calibri"/>
      <family val="2"/>
      <scheme val="minor"/>
    </font>
    <font>
      <sz val="14"/>
      <color rgb="FFFF0000"/>
      <name val="Calibri"/>
      <family val="2"/>
      <scheme val="minor"/>
    </font>
    <font>
      <sz val="14"/>
      <color theme="9" tint="-0.499984740745262"/>
      <name val="Calibri"/>
      <family val="2"/>
      <scheme val="minor"/>
    </font>
    <font>
      <sz val="11"/>
      <color theme="0"/>
      <name val="Calibri"/>
      <family val="2"/>
      <scheme val="minor"/>
    </font>
    <font>
      <b/>
      <sz val="36"/>
      <color theme="1"/>
      <name val="Eras Light ITC"/>
      <family val="2"/>
    </font>
    <font>
      <sz val="48"/>
      <color rgb="FF002060"/>
      <name val="Bauhaus 93"/>
      <family val="5"/>
    </font>
    <font>
      <b/>
      <u/>
      <sz val="18"/>
      <color theme="0"/>
      <name val="Calibri"/>
      <family val="2"/>
      <scheme val="minor"/>
    </font>
    <font>
      <sz val="16"/>
      <color theme="0"/>
      <name val="Calibri"/>
      <family val="2"/>
      <scheme val="minor"/>
    </font>
    <font>
      <b/>
      <sz val="20"/>
      <color rgb="FFFFFFFF"/>
      <name val="Calibri"/>
      <family val="2"/>
      <scheme val="minor"/>
    </font>
    <font>
      <sz val="18"/>
      <color theme="0"/>
      <name val="Calibri"/>
      <family val="2"/>
      <scheme val="minor"/>
    </font>
    <font>
      <b/>
      <sz val="20"/>
      <color rgb="FFFF0000"/>
      <name val="Calibri"/>
      <family val="2"/>
      <scheme val="minor"/>
    </font>
    <font>
      <u/>
      <sz val="20"/>
      <color rgb="FFFF0000"/>
      <name val="Calibri"/>
      <family val="2"/>
      <scheme val="minor"/>
    </font>
    <font>
      <u/>
      <sz val="22"/>
      <color theme="1"/>
      <name val="Calibri"/>
      <family val="2"/>
      <scheme val="minor"/>
    </font>
    <font>
      <sz val="36"/>
      <color rgb="FF002060"/>
      <name val="Albertus Extra Bold"/>
      <family val="2"/>
    </font>
    <font>
      <u/>
      <sz val="26"/>
      <name val="Bookman Old Style"/>
      <family val="1"/>
    </font>
    <font>
      <sz val="28"/>
      <name val="Bookman Old Style"/>
      <family val="1"/>
    </font>
    <font>
      <b/>
      <sz val="20"/>
      <color theme="0"/>
      <name val="Calibri"/>
      <family val="2"/>
      <scheme val="minor"/>
    </font>
    <font>
      <b/>
      <i/>
      <u/>
      <sz val="18"/>
      <color theme="0"/>
      <name val="Calibri"/>
      <family val="2"/>
      <scheme val="minor"/>
    </font>
    <font>
      <b/>
      <sz val="22"/>
      <color theme="0"/>
      <name val="Calibri"/>
      <family val="2"/>
      <scheme val="minor"/>
    </font>
  </fonts>
  <fills count="11">
    <fill>
      <patternFill patternType="none"/>
    </fill>
    <fill>
      <patternFill patternType="gray125"/>
    </fill>
    <fill>
      <patternFill patternType="solid">
        <fgColor theme="6" tint="0.39997558519241921"/>
        <bgColor indexed="64"/>
      </patternFill>
    </fill>
    <fill>
      <patternFill patternType="solid">
        <fgColor theme="3" tint="0.59999389629810485"/>
        <bgColor indexed="64"/>
      </patternFill>
    </fill>
    <fill>
      <patternFill patternType="solid">
        <fgColor rgb="FF99FF66"/>
        <bgColor indexed="64"/>
      </patternFill>
    </fill>
    <fill>
      <patternFill patternType="solid">
        <fgColor theme="8" tint="0.59999389629810485"/>
        <bgColor indexed="64"/>
      </patternFill>
    </fill>
    <fill>
      <patternFill patternType="solid">
        <fgColor theme="0"/>
        <bgColor indexed="64"/>
      </patternFill>
    </fill>
    <fill>
      <patternFill patternType="solid">
        <fgColor rgb="FF009900"/>
        <bgColor indexed="64"/>
      </patternFill>
    </fill>
    <fill>
      <patternFill patternType="solid">
        <fgColor rgb="FF01369F"/>
        <bgColor indexed="64"/>
      </patternFill>
    </fill>
    <fill>
      <patternFill patternType="solid">
        <fgColor rgb="FFFFFF00"/>
        <bgColor indexed="64"/>
      </patternFill>
    </fill>
    <fill>
      <patternFill patternType="solid">
        <fgColor rgb="FFFFFF8F"/>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16">
    <xf numFmtId="0" fontId="0" fillId="0" borderId="0" xfId="0"/>
    <xf numFmtId="0" fontId="3" fillId="0" borderId="1" xfId="0" applyFont="1" applyBorder="1" applyAlignment="1">
      <alignment horizontal="center" vertical="center"/>
    </xf>
    <xf numFmtId="0" fontId="6" fillId="0" borderId="1" xfId="0" applyFont="1" applyBorder="1" applyAlignment="1">
      <alignment horizontal="center" vertical="center"/>
    </xf>
    <xf numFmtId="0" fontId="0" fillId="0" borderId="5" xfId="0" applyBorder="1"/>
    <xf numFmtId="0" fontId="0" fillId="0" borderId="6" xfId="0" applyBorder="1"/>
    <xf numFmtId="0" fontId="4" fillId="0" borderId="0" xfId="0" applyFont="1" applyAlignment="1" applyProtection="1">
      <alignment horizontal="center" vertical="center"/>
    </xf>
    <xf numFmtId="0" fontId="2" fillId="0" borderId="1" xfId="0" applyFont="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2" fillId="0" borderId="1" xfId="0" applyFont="1" applyBorder="1" applyAlignment="1" applyProtection="1">
      <alignment horizontal="left" vertical="center" indent="1"/>
    </xf>
    <xf numFmtId="2" fontId="2" fillId="0" borderId="1" xfId="0" applyNumberFormat="1" applyFont="1" applyBorder="1" applyAlignment="1" applyProtection="1">
      <alignment horizontal="left" vertical="center" indent="1"/>
    </xf>
    <xf numFmtId="0" fontId="2" fillId="0" borderId="1" xfId="0" applyFont="1" applyFill="1" applyBorder="1" applyAlignment="1" applyProtection="1">
      <alignment horizontal="center" vertical="center"/>
    </xf>
    <xf numFmtId="0" fontId="10" fillId="4" borderId="1" xfId="0" applyFont="1" applyFill="1" applyBorder="1" applyAlignment="1" applyProtection="1">
      <alignment horizontal="center" vertical="center"/>
      <protection locked="0"/>
    </xf>
    <xf numFmtId="0" fontId="10" fillId="2" borderId="1" xfId="0" applyFont="1" applyFill="1" applyBorder="1" applyAlignment="1" applyProtection="1">
      <alignment horizontal="center" vertical="center"/>
      <protection locked="0"/>
    </xf>
    <xf numFmtId="0" fontId="0" fillId="0" borderId="0" xfId="0" applyAlignment="1">
      <alignment wrapText="1"/>
    </xf>
    <xf numFmtId="0" fontId="12" fillId="0" borderId="1" xfId="0" applyFont="1" applyBorder="1" applyAlignment="1" applyProtection="1">
      <alignment horizontal="left" vertical="center"/>
    </xf>
    <xf numFmtId="0" fontId="13" fillId="5" borderId="1" xfId="0" applyFont="1" applyFill="1" applyBorder="1" applyAlignment="1" applyProtection="1">
      <alignment horizontal="center" vertical="center"/>
      <protection locked="0"/>
    </xf>
    <xf numFmtId="0" fontId="13" fillId="5" borderId="1" xfId="0" applyFont="1" applyFill="1" applyBorder="1" applyAlignment="1" applyProtection="1">
      <alignment horizontal="center" vertical="center" wrapText="1"/>
      <protection locked="0"/>
    </xf>
    <xf numFmtId="0" fontId="14" fillId="0" borderId="1" xfId="0" applyFont="1" applyBorder="1" applyAlignment="1">
      <alignment horizontal="center" vertical="center"/>
    </xf>
    <xf numFmtId="0" fontId="12" fillId="0" borderId="1" xfId="0" applyFont="1" applyBorder="1" applyAlignment="1" applyProtection="1">
      <alignment horizontal="left" vertical="center" wrapText="1"/>
    </xf>
    <xf numFmtId="0" fontId="11" fillId="0" borderId="5" xfId="0" applyFont="1" applyBorder="1" applyAlignment="1">
      <alignment horizontal="left" vertical="center" indent="1"/>
    </xf>
    <xf numFmtId="0" fontId="11" fillId="0" borderId="6" xfId="0" applyFont="1" applyBorder="1" applyAlignment="1">
      <alignment horizontal="left" vertical="center" wrapText="1" indent="1"/>
    </xf>
    <xf numFmtId="0" fontId="11" fillId="0" borderId="6" xfId="0" applyFont="1" applyBorder="1" applyAlignment="1">
      <alignment horizontal="left" wrapText="1" indent="1"/>
    </xf>
    <xf numFmtId="0" fontId="11" fillId="0" borderId="0" xfId="0" applyFont="1" applyAlignment="1">
      <alignment horizontal="left" indent="1"/>
    </xf>
    <xf numFmtId="0" fontId="11" fillId="0" borderId="5" xfId="0" applyFont="1" applyBorder="1" applyAlignment="1">
      <alignment horizontal="left" vertical="center" wrapText="1" indent="1"/>
    </xf>
    <xf numFmtId="0" fontId="0" fillId="0" borderId="0" xfId="0" applyProtection="1"/>
    <xf numFmtId="0" fontId="6" fillId="0" borderId="1" xfId="0" applyFont="1" applyBorder="1" applyAlignment="1" applyProtection="1">
      <alignment horizontal="center" vertical="center"/>
    </xf>
    <xf numFmtId="0" fontId="18" fillId="8" borderId="10" xfId="0" applyFont="1" applyFill="1" applyBorder="1" applyProtection="1"/>
    <xf numFmtId="0" fontId="18" fillId="8" borderId="0" xfId="0" applyFont="1" applyFill="1" applyBorder="1" applyProtection="1"/>
    <xf numFmtId="0" fontId="18" fillId="8" borderId="11" xfId="0" applyFont="1" applyFill="1" applyBorder="1" applyProtection="1"/>
    <xf numFmtId="0" fontId="18" fillId="8" borderId="0" xfId="0" applyFont="1" applyFill="1" applyBorder="1" applyAlignment="1" applyProtection="1"/>
    <xf numFmtId="0" fontId="18" fillId="8" borderId="12" xfId="0" applyFont="1" applyFill="1" applyBorder="1" applyProtection="1"/>
    <xf numFmtId="0" fontId="18" fillId="8" borderId="13" xfId="0" applyFont="1" applyFill="1" applyBorder="1" applyProtection="1"/>
    <xf numFmtId="0" fontId="18" fillId="8" borderId="14" xfId="0" applyFont="1" applyFill="1" applyBorder="1" applyProtection="1"/>
    <xf numFmtId="0" fontId="21" fillId="8" borderId="0" xfId="0" applyFont="1" applyFill="1" applyBorder="1" applyAlignment="1" applyProtection="1">
      <alignment horizontal="center"/>
    </xf>
    <xf numFmtId="0" fontId="3" fillId="0" borderId="1" xfId="0" applyFont="1" applyBorder="1" applyAlignment="1" applyProtection="1">
      <alignment horizontal="center" vertical="center"/>
    </xf>
    <xf numFmtId="21" fontId="0" fillId="0" borderId="0" xfId="0" applyNumberFormat="1" applyProtection="1"/>
    <xf numFmtId="0" fontId="25" fillId="6" borderId="6" xfId="0" applyFont="1" applyFill="1" applyBorder="1" applyAlignment="1" applyProtection="1">
      <alignment horizontal="center" vertical="center"/>
    </xf>
    <xf numFmtId="0" fontId="20" fillId="6" borderId="8" xfId="0" applyFont="1" applyFill="1" applyBorder="1" applyAlignment="1" applyProtection="1">
      <alignment vertical="center" wrapText="1"/>
    </xf>
    <xf numFmtId="0" fontId="7" fillId="0" borderId="0" xfId="0" applyFont="1" applyAlignment="1" applyProtection="1"/>
    <xf numFmtId="0" fontId="2" fillId="0" borderId="1" xfId="0" applyFont="1" applyBorder="1" applyAlignment="1" applyProtection="1">
      <alignment vertical="center"/>
    </xf>
    <xf numFmtId="0" fontId="2" fillId="0" borderId="1" xfId="0" applyFont="1" applyBorder="1" applyAlignment="1" applyProtection="1">
      <alignment horizontal="center"/>
    </xf>
    <xf numFmtId="0" fontId="18" fillId="0" borderId="0" xfId="0" applyFont="1" applyProtection="1"/>
    <xf numFmtId="0" fontId="23" fillId="6" borderId="5" xfId="0" applyFont="1" applyFill="1" applyBorder="1" applyAlignment="1">
      <alignment horizontal="center" vertical="center"/>
    </xf>
    <xf numFmtId="0" fontId="23" fillId="6" borderId="6" xfId="0" applyFont="1" applyFill="1" applyBorder="1" applyAlignment="1">
      <alignment horizontal="center" vertical="center"/>
    </xf>
    <xf numFmtId="0" fontId="25" fillId="6" borderId="5" xfId="0" applyFont="1" applyFill="1" applyBorder="1" applyAlignment="1" applyProtection="1">
      <alignment horizontal="center" vertical="center"/>
    </xf>
    <xf numFmtId="19" fontId="0" fillId="0" borderId="0" xfId="0" applyNumberFormat="1" applyProtection="1"/>
    <xf numFmtId="19" fontId="0" fillId="0" borderId="0" xfId="0" applyNumberFormat="1"/>
    <xf numFmtId="0" fontId="27" fillId="0" borderId="13" xfId="0" applyFont="1" applyBorder="1" applyAlignment="1" applyProtection="1">
      <alignment vertical="center"/>
    </xf>
    <xf numFmtId="0" fontId="24" fillId="8" borderId="0" xfId="0" applyFont="1" applyFill="1" applyBorder="1" applyProtection="1"/>
    <xf numFmtId="0" fontId="31" fillId="6" borderId="5" xfId="0" applyFont="1" applyFill="1" applyBorder="1" applyAlignment="1" applyProtection="1">
      <alignment horizontal="center" vertical="center"/>
    </xf>
    <xf numFmtId="0" fontId="31" fillId="6" borderId="6" xfId="0" applyFont="1" applyFill="1" applyBorder="1" applyAlignment="1" applyProtection="1">
      <alignment horizontal="center" vertical="center"/>
    </xf>
    <xf numFmtId="0" fontId="18" fillId="0" borderId="0" xfId="0" applyFont="1"/>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2" fillId="0" borderId="0" xfId="0" applyFont="1" applyAlignment="1" applyProtection="1"/>
    <xf numFmtId="0" fontId="33" fillId="0" borderId="1" xfId="0" applyFont="1" applyBorder="1" applyAlignment="1" applyProtection="1">
      <alignment horizontal="center" vertical="center"/>
    </xf>
    <xf numFmtId="0" fontId="31" fillId="6" borderId="6" xfId="0" applyFont="1" applyFill="1" applyBorder="1" applyAlignment="1" applyProtection="1">
      <alignment horizontal="center" vertical="center"/>
      <protection locked="0"/>
    </xf>
    <xf numFmtId="0" fontId="10" fillId="10" borderId="1" xfId="0" applyFont="1" applyFill="1" applyBorder="1" applyAlignment="1" applyProtection="1">
      <alignment horizontal="center" vertical="center"/>
    </xf>
    <xf numFmtId="0" fontId="1" fillId="10" borderId="1" xfId="0" applyFont="1" applyFill="1" applyBorder="1" applyAlignment="1" applyProtection="1">
      <alignment horizontal="center" vertical="center"/>
      <protection locked="0"/>
    </xf>
    <xf numFmtId="0" fontId="1" fillId="10" borderId="1" xfId="0" applyFont="1" applyFill="1" applyBorder="1" applyAlignment="1" applyProtection="1">
      <alignment horizontal="center" vertical="center"/>
    </xf>
    <xf numFmtId="45" fontId="24" fillId="8" borderId="0" xfId="0" applyNumberFormat="1" applyFont="1" applyFill="1" applyBorder="1" applyAlignment="1" applyProtection="1">
      <alignment horizontal="center" vertical="center"/>
    </xf>
    <xf numFmtId="0" fontId="24" fillId="8" borderId="0" xfId="0" applyFont="1" applyFill="1" applyBorder="1" applyAlignment="1" applyProtection="1">
      <alignment horizontal="center" vertical="center"/>
    </xf>
    <xf numFmtId="0" fontId="22" fillId="8" borderId="0" xfId="0" applyFont="1" applyFill="1" applyBorder="1" applyAlignment="1" applyProtection="1">
      <alignment horizontal="center" vertical="center"/>
    </xf>
    <xf numFmtId="0" fontId="27" fillId="0" borderId="0" xfId="0" applyFont="1" applyAlignment="1" applyProtection="1">
      <alignment horizontal="center" vertical="center"/>
    </xf>
    <xf numFmtId="0" fontId="28" fillId="6" borderId="8" xfId="0" applyFont="1" applyFill="1" applyBorder="1" applyAlignment="1" applyProtection="1">
      <alignment horizontal="left" vertical="center" wrapText="1" indent="9"/>
    </xf>
    <xf numFmtId="0" fontId="28" fillId="6" borderId="9" xfId="0" applyFont="1" applyFill="1" applyBorder="1" applyAlignment="1" applyProtection="1">
      <alignment horizontal="left" vertical="center" wrapText="1" indent="9"/>
    </xf>
    <xf numFmtId="0" fontId="28" fillId="6" borderId="0" xfId="0" applyFont="1" applyFill="1" applyBorder="1" applyAlignment="1" applyProtection="1">
      <alignment horizontal="left" vertical="center" wrapText="1" indent="9"/>
    </xf>
    <xf numFmtId="0" fontId="28" fillId="6" borderId="11" xfId="0" applyFont="1" applyFill="1" applyBorder="1" applyAlignment="1" applyProtection="1">
      <alignment horizontal="left" vertical="center" wrapText="1" indent="9"/>
    </xf>
    <xf numFmtId="0" fontId="28" fillId="6" borderId="13" xfId="0" applyFont="1" applyFill="1" applyBorder="1" applyAlignment="1" applyProtection="1">
      <alignment horizontal="left" vertical="center" wrapText="1" indent="9"/>
    </xf>
    <xf numFmtId="0" fontId="28" fillId="6" borderId="14" xfId="0" applyFont="1" applyFill="1" applyBorder="1" applyAlignment="1" applyProtection="1">
      <alignment horizontal="left" vertical="center" wrapText="1" indent="9"/>
    </xf>
    <xf numFmtId="0" fontId="30" fillId="3" borderId="7" xfId="0" applyFont="1" applyFill="1" applyBorder="1" applyAlignment="1" applyProtection="1">
      <alignment horizontal="center" vertical="center" wrapText="1"/>
      <protection locked="0"/>
    </xf>
    <xf numFmtId="0" fontId="30" fillId="3" borderId="8" xfId="0" applyFont="1" applyFill="1" applyBorder="1" applyAlignment="1" applyProtection="1">
      <alignment horizontal="center" vertical="center" wrapText="1"/>
      <protection locked="0"/>
    </xf>
    <xf numFmtId="0" fontId="30" fillId="3" borderId="9" xfId="0" applyFont="1" applyFill="1" applyBorder="1" applyAlignment="1" applyProtection="1">
      <alignment horizontal="center" vertical="center" wrapText="1"/>
      <protection locked="0"/>
    </xf>
    <xf numFmtId="0" fontId="30" fillId="3" borderId="10" xfId="0" applyFont="1" applyFill="1" applyBorder="1" applyAlignment="1" applyProtection="1">
      <alignment horizontal="center" vertical="center" wrapText="1"/>
      <protection locked="0"/>
    </xf>
    <xf numFmtId="0" fontId="30" fillId="3" borderId="0" xfId="0" applyFont="1" applyFill="1" applyBorder="1" applyAlignment="1" applyProtection="1">
      <alignment horizontal="center" vertical="center" wrapText="1"/>
      <protection locked="0"/>
    </xf>
    <xf numFmtId="0" fontId="30" fillId="3" borderId="11" xfId="0" applyFont="1" applyFill="1" applyBorder="1" applyAlignment="1" applyProtection="1">
      <alignment horizontal="center" vertical="center" wrapText="1"/>
      <protection locked="0"/>
    </xf>
    <xf numFmtId="0" fontId="30" fillId="3" borderId="12" xfId="0" applyFont="1" applyFill="1" applyBorder="1" applyAlignment="1" applyProtection="1">
      <alignment horizontal="center" vertical="center" wrapText="1"/>
      <protection locked="0"/>
    </xf>
    <xf numFmtId="0" fontId="30" fillId="3" borderId="13" xfId="0" applyFont="1" applyFill="1" applyBorder="1" applyAlignment="1" applyProtection="1">
      <alignment horizontal="center" vertical="center" wrapText="1"/>
      <protection locked="0"/>
    </xf>
    <xf numFmtId="0" fontId="30" fillId="3" borderId="14" xfId="0" applyFont="1" applyFill="1" applyBorder="1" applyAlignment="1" applyProtection="1">
      <alignment horizontal="center" vertical="center" wrapText="1"/>
      <protection locked="0"/>
    </xf>
    <xf numFmtId="0" fontId="21" fillId="8" borderId="0" xfId="0" applyFont="1" applyFill="1" applyBorder="1" applyAlignment="1" applyProtection="1">
      <alignment horizontal="center"/>
    </xf>
    <xf numFmtId="0" fontId="22" fillId="8" borderId="0" xfId="0" applyFont="1" applyFill="1" applyBorder="1" applyAlignment="1" applyProtection="1">
      <alignment horizontal="center"/>
    </xf>
    <xf numFmtId="0" fontId="29" fillId="9" borderId="7" xfId="0" applyFont="1" applyFill="1" applyBorder="1" applyAlignment="1" applyProtection="1">
      <alignment horizontal="center" vertical="center"/>
      <protection locked="0"/>
    </xf>
    <xf numFmtId="0" fontId="29" fillId="9" borderId="8" xfId="0" applyFont="1" applyFill="1" applyBorder="1" applyAlignment="1" applyProtection="1">
      <alignment horizontal="center" vertical="center"/>
      <protection locked="0"/>
    </xf>
    <xf numFmtId="0" fontId="29" fillId="9" borderId="9" xfId="0" applyFont="1" applyFill="1" applyBorder="1" applyAlignment="1" applyProtection="1">
      <alignment horizontal="center" vertical="center"/>
      <protection locked="0"/>
    </xf>
    <xf numFmtId="0" fontId="29" fillId="9" borderId="10" xfId="0" applyFont="1" applyFill="1" applyBorder="1" applyAlignment="1" applyProtection="1">
      <alignment horizontal="center" vertical="center"/>
      <protection locked="0"/>
    </xf>
    <xf numFmtId="0" fontId="29" fillId="9" borderId="0" xfId="0" applyFont="1" applyFill="1" applyBorder="1" applyAlignment="1" applyProtection="1">
      <alignment horizontal="center" vertical="center"/>
      <protection locked="0"/>
    </xf>
    <xf numFmtId="0" fontId="29" fillId="9" borderId="11" xfId="0" applyFont="1" applyFill="1" applyBorder="1" applyAlignment="1" applyProtection="1">
      <alignment horizontal="center" vertical="center"/>
      <protection locked="0"/>
    </xf>
    <xf numFmtId="0" fontId="29" fillId="9" borderId="12" xfId="0" applyFont="1" applyFill="1" applyBorder="1" applyAlignment="1" applyProtection="1">
      <alignment horizontal="center" vertical="center"/>
      <protection locked="0"/>
    </xf>
    <xf numFmtId="0" fontId="29" fillId="9" borderId="13" xfId="0" applyFont="1" applyFill="1" applyBorder="1" applyAlignment="1" applyProtection="1">
      <alignment horizontal="center" vertical="center"/>
      <protection locked="0"/>
    </xf>
    <xf numFmtId="0" fontId="29" fillId="9" borderId="14" xfId="0" applyFont="1" applyFill="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45" fontId="19" fillId="7" borderId="10" xfId="0" applyNumberFormat="1" applyFont="1" applyFill="1" applyBorder="1" applyAlignment="1" applyProtection="1">
      <alignment horizontal="center"/>
    </xf>
    <xf numFmtId="45" fontId="19" fillId="7" borderId="0" xfId="0" applyNumberFormat="1" applyFont="1" applyFill="1" applyBorder="1" applyAlignment="1" applyProtection="1">
      <alignment horizontal="center"/>
    </xf>
    <xf numFmtId="45" fontId="19" fillId="7" borderId="10" xfId="0" applyNumberFormat="1" applyFont="1" applyFill="1" applyBorder="1" applyAlignment="1">
      <alignment horizontal="center"/>
    </xf>
    <xf numFmtId="45" fontId="19" fillId="7" borderId="0" xfId="0" applyNumberFormat="1" applyFont="1" applyFill="1" applyBorder="1" applyAlignment="1">
      <alignment horizontal="center"/>
    </xf>
    <xf numFmtId="0" fontId="6" fillId="0" borderId="2" xfId="0" applyFont="1" applyBorder="1" applyAlignment="1" applyProtection="1">
      <alignment horizontal="center" vertical="center"/>
    </xf>
    <xf numFmtId="0" fontId="6" fillId="0" borderId="3" xfId="0" applyFont="1" applyBorder="1" applyAlignment="1" applyProtection="1">
      <alignment horizontal="center" vertical="center"/>
    </xf>
    <xf numFmtId="0" fontId="6" fillId="0" borderId="4" xfId="0" applyFont="1" applyBorder="1" applyAlignment="1" applyProtection="1">
      <alignment horizontal="center" vertical="center"/>
    </xf>
    <xf numFmtId="0" fontId="7" fillId="0" borderId="0" xfId="0" applyFont="1" applyAlignment="1" applyProtection="1">
      <alignment horizontal="left" indent="7"/>
    </xf>
    <xf numFmtId="0" fontId="7" fillId="0" borderId="0" xfId="0" applyFont="1" applyAlignment="1" applyProtection="1">
      <alignment horizontal="left" vertical="center" indent="7"/>
    </xf>
    <xf numFmtId="0" fontId="3" fillId="0" borderId="0" xfId="0" applyFont="1" applyBorder="1" applyAlignment="1" applyProtection="1">
      <alignment horizontal="left" vertical="center" indent="7"/>
    </xf>
    <xf numFmtId="0" fontId="3" fillId="0" borderId="11" xfId="0" applyFont="1" applyBorder="1" applyAlignment="1" applyProtection="1">
      <alignment horizontal="left" vertical="center" indent="7"/>
    </xf>
    <xf numFmtId="0" fontId="26" fillId="0" borderId="0" xfId="0" applyFont="1" applyAlignment="1" applyProtection="1">
      <alignment horizontal="left" vertical="top" indent="7"/>
    </xf>
    <xf numFmtId="0" fontId="26" fillId="0" borderId="10" xfId="0" applyFont="1" applyBorder="1" applyAlignment="1" applyProtection="1">
      <alignment horizontal="left" vertical="center" indent="1"/>
    </xf>
    <xf numFmtId="0" fontId="26" fillId="0" borderId="0" xfId="0" applyFont="1" applyBorder="1" applyAlignment="1" applyProtection="1">
      <alignment horizontal="left" vertical="center" indent="1"/>
    </xf>
    <xf numFmtId="0" fontId="26" fillId="0" borderId="11" xfId="0" applyFont="1" applyBorder="1" applyAlignment="1" applyProtection="1">
      <alignment horizontal="left" vertical="center" indent="1"/>
    </xf>
    <xf numFmtId="0" fontId="13" fillId="0" borderId="0" xfId="0" applyFont="1" applyAlignment="1">
      <alignment horizontal="left" vertical="center" wrapText="1" indent="1"/>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5" fillId="0" borderId="0" xfId="0" applyFont="1" applyAlignment="1">
      <alignment horizontal="center"/>
    </xf>
    <xf numFmtId="0" fontId="7" fillId="0" borderId="0" xfId="0" applyFont="1" applyAlignment="1">
      <alignment horizontal="left" indent="7"/>
    </xf>
    <xf numFmtId="0" fontId="9" fillId="0" borderId="0" xfId="0" applyFont="1" applyAlignment="1">
      <alignment horizontal="left" indent="12"/>
    </xf>
  </cellXfs>
  <cellStyles count="1">
    <cellStyle name="Normal" xfId="0" builtinId="0"/>
  </cellStyles>
  <dxfs count="78">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
      <font>
        <color rgb="FF008000"/>
      </font>
    </dxf>
  </dxfs>
  <tableStyles count="0" defaultTableStyle="TableStyleMedium9" defaultPivotStyle="PivotStyleLight16"/>
  <colors>
    <mruColors>
      <color rgb="FFFFFF8F"/>
      <color rgb="FFFFFF4F"/>
      <color rgb="FFFFD243"/>
      <color rgb="FFFF9900"/>
      <color rgb="FF009900"/>
      <color rgb="FF0000FF"/>
      <color rgb="FFFF00FF"/>
      <color rgb="FFCC99FF"/>
      <color rgb="FF612A8A"/>
      <color rgb="FFE7BC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Reset Sheet"/>
  <ax:ocxPr ax:name="Size" ax:value="2752;794"/>
  <ax:ocxPr ax:name="FontName" ax:value="Calibri"/>
  <ax:ocxPr ax:name="FontHeight" ax:value="22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Caption" ax:value="Submit"/>
  <ax:ocxPr ax:name="Size" ax:value="3651;900"/>
  <ax:ocxPr ax:name="FontName" ax:value="Calibri"/>
  <ax:ocxPr ax:name="FontHeight" ax:value="22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Caption" ax:value="Friday"/>
  <ax:ocxPr ax:name="Size" ax:value="6694;1482"/>
  <ax:ocxPr ax:name="FontName" ax:value="Calibri"/>
  <ax:ocxPr ax:name="FontHeight" ax:value="22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Caption" ax:value="Thursday"/>
  <ax:ocxPr ax:name="Size" ax:value="6641;1535"/>
  <ax:ocxPr ax:name="FontName" ax:value="Calibri"/>
  <ax:ocxPr ax:name="FontHeight" ax:value="225"/>
  <ax:ocxPr ax:name="FontCharSet" ax:value="0"/>
  <ax:ocxPr ax:name="FontPitchAndFamily" ax:value="2"/>
  <ax:ocxPr ax:name="ParagraphAlign" ax:value="3"/>
</ax:ocx>
</file>

<file path=xl/activeX/activeX5.xml><?xml version="1.0" encoding="utf-8"?>
<ax:ocx xmlns:ax="http://schemas.microsoft.com/office/2006/activeX" xmlns:r="http://schemas.openxmlformats.org/officeDocument/2006/relationships" ax:classid="{D7053240-CE69-11CD-A777-00DD01143C57}" ax:persistence="persistPropertyBag">
  <ax:ocxPr ax:name="Caption" ax:value="Wednesday"/>
  <ax:ocxPr ax:name="Size" ax:value="6641;1455"/>
  <ax:ocxPr ax:name="FontName" ax:value="Calibri"/>
  <ax:ocxPr ax:name="FontHeight" ax:value="225"/>
  <ax:ocxPr ax:name="FontCharSet" ax:value="0"/>
  <ax:ocxPr ax:name="FontPitchAndFamily" ax:value="2"/>
  <ax:ocxPr ax:name="ParagraphAlign" ax:value="3"/>
</ax:ocx>
</file>

<file path=xl/activeX/activeX6.xml><?xml version="1.0" encoding="utf-8"?>
<ax:ocx xmlns:ax="http://schemas.microsoft.com/office/2006/activeX" xmlns:r="http://schemas.openxmlformats.org/officeDocument/2006/relationships" ax:classid="{D7053240-CE69-11CD-A777-00DD01143C57}" ax:persistence="persistPropertyBag">
  <ax:ocxPr ax:name="Caption" ax:value="Tuesday"/>
  <ax:ocxPr ax:name="Size" ax:value="6773;1508"/>
  <ax:ocxPr ax:name="FontName" ax:value="Calibri"/>
  <ax:ocxPr ax:name="FontHeight" ax:value="225"/>
  <ax:ocxPr ax:name="FontCharSet" ax:value="0"/>
  <ax:ocxPr ax:name="FontPitchAndFamily" ax:value="2"/>
  <ax:ocxPr ax:name="ParagraphAlign" ax:value="3"/>
</ax:ocx>
</file>

<file path=xl/activeX/activeX7.xml><?xml version="1.0" encoding="utf-8"?>
<ax:ocx xmlns:ax="http://schemas.microsoft.com/office/2006/activeX" xmlns:r="http://schemas.openxmlformats.org/officeDocument/2006/relationships" ax:classid="{D7053240-CE69-11CD-A777-00DD01143C57}" ax:persistence="persistPropertyBag">
  <ax:ocxPr ax:name="Caption" ax:value="Monday"/>
  <ax:ocxPr ax:name="Size" ax:value="6588;1535"/>
  <ax:ocxPr ax:name="FontName" ax:value="Calibri"/>
  <ax:ocxPr ax:name="FontHeight" ax:value="22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Caption" ax:value="Friday"/>
  <ax:ocxPr ax:name="Size" ax:value="6694;1482"/>
  <ax:ocxPr ax:name="FontName" ax:value="Calibri"/>
  <ax:ocxPr ax:name="FontHeight" ax:value="22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Caption" ax:value="Thursday"/>
  <ax:ocxPr ax:name="Size" ax:value="6641;1535"/>
  <ax:ocxPr ax:name="FontName" ax:value="Calibri"/>
  <ax:ocxPr ax:name="FontHeight" ax:value="225"/>
  <ax:ocxPr ax:name="FontCharSet" ax:value="0"/>
  <ax:ocxPr ax:name="FontPitchAndFamily" ax:value="2"/>
  <ax:ocxPr ax:name="ParagraphAlign" ax:value="3"/>
</ax:ocx>
</file>

<file path=xl/activeX/activeX10.xml><?xml version="1.0" encoding="utf-8"?>
<ax:ocx xmlns:ax="http://schemas.microsoft.com/office/2006/activeX" xmlns:r="http://schemas.openxmlformats.org/officeDocument/2006/relationships" ax:classid="{D7053240-CE69-11CD-A777-00DD01143C57}" ax:persistence="persistPropertyBag">
  <ax:ocxPr ax:name="Caption" ax:value="Wednesday"/>
  <ax:ocxPr ax:name="Size" ax:value="6641;1455"/>
  <ax:ocxPr ax:name="FontName" ax:value="Calibri"/>
  <ax:ocxPr ax:name="FontHeight" ax:value="225"/>
  <ax:ocxPr ax:name="FontCharSet" ax:value="0"/>
  <ax:ocxPr ax:name="FontPitchAndFamily" ax:value="2"/>
  <ax:ocxPr ax:name="ParagraphAlign" ax:value="3"/>
</ax:ocx>
</file>

<file path=xl/activeX/activeX11.xml><?xml version="1.0" encoding="utf-8"?>
<ax:ocx xmlns:ax="http://schemas.microsoft.com/office/2006/activeX" xmlns:r="http://schemas.openxmlformats.org/officeDocument/2006/relationships" ax:classid="{D7053240-CE69-11CD-A777-00DD01143C57}" ax:persistence="persistPropertyBag">
  <ax:ocxPr ax:name="Caption" ax:value="Tuesday"/>
  <ax:ocxPr ax:name="Size" ax:value="6773;1508"/>
  <ax:ocxPr ax:name="FontName" ax:value="Calibri"/>
  <ax:ocxPr ax:name="FontHeight" ax:value="225"/>
  <ax:ocxPr ax:name="FontCharSet" ax:value="0"/>
  <ax:ocxPr ax:name="FontPitchAndFamily" ax:value="2"/>
  <ax:ocxPr ax:name="ParagraphAlign" ax:value="3"/>
</ax:ocx>
</file>

<file path=xl/activeX/activeX12.xml><?xml version="1.0" encoding="utf-8"?>
<ax:ocx xmlns:ax="http://schemas.microsoft.com/office/2006/activeX" xmlns:r="http://schemas.openxmlformats.org/officeDocument/2006/relationships" ax:classid="{D7053240-CE69-11CD-A777-00DD01143C57}" ax:persistence="persistPropertyBag">
  <ax:ocxPr ax:name="Caption" ax:value="Monday"/>
  <ax:ocxPr ax:name="Size" ax:value="6588;1535"/>
  <ax:ocxPr ax:name="FontName" ax:value="Calibri"/>
  <ax:ocxPr ax:name="FontHeight" ax:value="225"/>
  <ax:ocxPr ax:name="FontCharSet" ax:value="0"/>
  <ax:ocxPr ax:name="FontPitchAndFamily" ax:value="2"/>
  <ax:ocxPr ax:name="ParagraphAlign" ax:value="3"/>
</ax:ocx>
</file>

<file path=xl/activeX/activeX13.xml><?xml version="1.0" encoding="utf-8"?>
<ax:ocx xmlns:ax="http://schemas.microsoft.com/office/2006/activeX" xmlns:r="http://schemas.openxmlformats.org/officeDocument/2006/relationships" ax:classid="{D7053240-CE69-11CD-A777-00DD01143C57}" ax:persistence="persistPropertyBag">
  <ax:ocxPr ax:name="Caption" ax:value="Friday"/>
  <ax:ocxPr ax:name="Size" ax:value="6694;1482"/>
  <ax:ocxPr ax:name="FontName" ax:value="Calibri"/>
  <ax:ocxPr ax:name="FontHeight" ax:value="22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Caption" ax:value="Thursday"/>
  <ax:ocxPr ax:name="Size" ax:value="6641;1535"/>
  <ax:ocxPr ax:name="FontName" ax:value="Calibri"/>
  <ax:ocxPr ax:name="FontHeight" ax:value="225"/>
  <ax:ocxPr ax:name="FontCharSet" ax:value="0"/>
  <ax:ocxPr ax:name="FontPitchAndFamily" ax:value="2"/>
  <ax:ocxPr ax:name="ParagraphAlign" ax:value="3"/>
</ax:ocx>
</file>

<file path=xl/activeX/activeX15.xml><?xml version="1.0" encoding="utf-8"?>
<ax:ocx xmlns:ax="http://schemas.microsoft.com/office/2006/activeX" xmlns:r="http://schemas.openxmlformats.org/officeDocument/2006/relationships" ax:classid="{D7053240-CE69-11CD-A777-00DD01143C57}" ax:persistence="persistPropertyBag">
  <ax:ocxPr ax:name="Caption" ax:value="Wednesday"/>
  <ax:ocxPr ax:name="Size" ax:value="6641;1455"/>
  <ax:ocxPr ax:name="FontName" ax:value="Calibri"/>
  <ax:ocxPr ax:name="FontHeight" ax:value="22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Caption" ax:value="Tuesday"/>
  <ax:ocxPr ax:name="Size" ax:value="6773;1535"/>
  <ax:ocxPr ax:name="FontName" ax:value="Calibri"/>
  <ax:ocxPr ax:name="FontHeight" ax:value="225"/>
  <ax:ocxPr ax:name="FontCharSet" ax:value="0"/>
  <ax:ocxPr ax:name="FontPitchAndFamily" ax:value="2"/>
  <ax:ocxPr ax:name="ParagraphAlign" ax:value="3"/>
</ax:ocx>
</file>

<file path=xl/activeX/activeX17.xml><?xml version="1.0" encoding="utf-8"?>
<ax:ocx xmlns:ax="http://schemas.microsoft.com/office/2006/activeX" xmlns:r="http://schemas.openxmlformats.org/officeDocument/2006/relationships" ax:classid="{D7053240-CE69-11CD-A777-00DD01143C57}" ax:persistence="persistPropertyBag">
  <ax:ocxPr ax:name="Caption" ax:value="Monday"/>
  <ax:ocxPr ax:name="Size" ax:value="6747;1561"/>
  <ax:ocxPr ax:name="FontName" ax:value="Calibri"/>
  <ax:ocxPr ax:name="FontHeight" ax:value="285"/>
  <ax:ocxPr ax:name="FontCharSet" ax:value="0"/>
  <ax:ocxPr ax:name="FontPitchAndFamily" ax:value="2"/>
  <ax:ocxPr ax:name="ParagraphAlign" ax:value="3"/>
</ax:ocx>
</file>

<file path=xl/activeX/activeX18.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19.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20.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21.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22.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23.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24.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25.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26.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27.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28.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29.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30.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31.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32.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33.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34.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35.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36.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37.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38.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39.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40.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41.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42.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43.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44.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45.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activeX/activeX46.xml><?xml version="1.0" encoding="utf-8"?>
<ax:ocx xmlns:ax="http://schemas.microsoft.com/office/2006/activeX" xmlns:r="http://schemas.openxmlformats.org/officeDocument/2006/relationships" ax:classid="{D7053240-CE69-11CD-A777-00DD01143C57}" ax:persistence="persistPropertyBag">
  <ax:ocxPr ax:name="Caption" ax:value="Main Menu"/>
  <ax:ocxPr ax:name="Size" ax:value="5080;1482"/>
  <ax:ocxPr ax:name="FontName" ax:value="Calibri"/>
  <ax:ocxPr ax:name="FontHeight" ax:value="435"/>
  <ax:ocxPr ax:name="FontCharSet" ax:value="0"/>
  <ax:ocxPr ax:name="FontPitchAndFamily" ax:value="2"/>
  <ax:ocxPr ax:name="ParagraphAlign" ax:value="3"/>
</ax:ocx>
</file>

<file path=xl/activeX/activeX47.xml><?xml version="1.0" encoding="utf-8"?>
<ax:ocx xmlns:ax="http://schemas.microsoft.com/office/2006/activeX" xmlns:r="http://schemas.openxmlformats.org/officeDocument/2006/relationships" ax:classid="{D7053240-CE69-11CD-A777-00DD01143C57}" ax:persistence="persistPropertyBag">
  <ax:ocxPr ax:name="Caption" ax:value="Finished"/>
  <ax:ocxPr ax:name="Size" ax:value="12991;1561"/>
  <ax:ocxPr ax:name="FontName" ax:value="Calibri"/>
  <ax:ocxPr ax:name="FontHeight" ax:value="480"/>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2.x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drawing3.x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_rels/drawing4.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5.x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drawing6.x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drawing7.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43.emf"/><Relationship Id="rId1" Type="http://schemas.openxmlformats.org/officeDocument/2006/relationships/image" Target="../media/image42.emf"/></Relationships>
</file>

<file path=xl/drawings/_rels/drawing8.x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6.emf"/></Relationships>
</file>

<file path=xl/drawings/_rels/drawing9.x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drawing10.x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4.emf"/></Relationships>
</file>

<file path=xl/drawings/_rels/drawing11.xml.rels><?xml version="1.0" encoding="UTF-8" standalone="yes"?>
<Relationships xmlns="http://schemas.openxmlformats.org/package/2006/relationships"><Relationship Id="rId2" Type="http://schemas.openxmlformats.org/officeDocument/2006/relationships/image" Target="../media/image59.jpeg"/><Relationship Id="rId1" Type="http://schemas.openxmlformats.org/officeDocument/2006/relationships/image" Target="../media/image58.emf"/></Relationships>
</file>

<file path=xl/drawings/_rels/drawing12.x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6.emf"/></Relationships>
</file>

<file path=xl/drawings/_rels/drawing14.x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74.emf"/></Relationships>
</file>

<file path=xl/drawings/_rels/drawing16.xml.rels><?xml version="1.0" encoding="UTF-8" standalone="yes"?>
<Relationships xmlns="http://schemas.openxmlformats.org/package/2006/relationships"><Relationship Id="rId1" Type="http://schemas.openxmlformats.org/officeDocument/2006/relationships/image" Target="../media/image77.emf"/></Relationships>
</file>

<file path=xl/drawings/_rels/drawing17.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78.emf"/></Relationships>
</file>

<file path=xl/drawings/_rels/drawing18.xml.rels><?xml version="1.0" encoding="UTF-8" standalone="yes"?>
<Relationships xmlns="http://schemas.openxmlformats.org/package/2006/relationships"><Relationship Id="rId2" Type="http://schemas.openxmlformats.org/officeDocument/2006/relationships/image" Target="../media/image74.emf"/><Relationship Id="rId1" Type="http://schemas.openxmlformats.org/officeDocument/2006/relationships/image" Target="../media/image78.emf"/></Relationships>
</file>

<file path=xl/drawings/_rels/drawing19.x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78.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6.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73.emf"/><Relationship Id="rId1" Type="http://schemas.openxmlformats.org/officeDocument/2006/relationships/image" Target="../media/image7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editAs="oneCell">
    <xdr:from>
      <xdr:col>9</xdr:col>
      <xdr:colOff>142875</xdr:colOff>
      <xdr:row>1</xdr:row>
      <xdr:rowOff>219075</xdr:rowOff>
    </xdr:from>
    <xdr:to>
      <xdr:col>9</xdr:col>
      <xdr:colOff>1585243</xdr:colOff>
      <xdr:row>6</xdr:row>
      <xdr:rowOff>0</xdr:rowOff>
    </xdr:to>
    <xdr:pic>
      <xdr:nvPicPr>
        <xdr:cNvPr id="2" name="Picture 1">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038975" y="800100"/>
          <a:ext cx="1442368" cy="2600325"/>
        </a:xfrm>
        <a:prstGeom prst="rect">
          <a:avLst/>
        </a:prstGeom>
        <a:noFill/>
      </xdr:spPr>
    </xdr:pic>
    <xdr:clientData/>
  </xdr:twoCellAnchor>
  <xdr:twoCellAnchor editAs="oneCell">
    <xdr:from>
      <xdr:col>7</xdr:col>
      <xdr:colOff>247650</xdr:colOff>
      <xdr:row>31</xdr:row>
      <xdr:rowOff>426780</xdr:rowOff>
    </xdr:from>
    <xdr:to>
      <xdr:col>9</xdr:col>
      <xdr:colOff>85725</xdr:colOff>
      <xdr:row>38</xdr:row>
      <xdr:rowOff>11880</xdr:rowOff>
    </xdr:to>
    <xdr:pic>
      <xdr:nvPicPr>
        <xdr:cNvPr id="2053" name="Picture 5">
          <a:extLst>
            <a:ext uri="{FF2B5EF4-FFF2-40B4-BE49-F238E27FC236}">
              <a16:creationId xmlns="" xmlns:a16="http://schemas.microsoft.com/office/drawing/2014/main" id="{00000000-0008-0000-0000-000005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019675" y="19543455"/>
          <a:ext cx="1962150" cy="16996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600075</xdr:colOff>
      <xdr:row>1</xdr:row>
      <xdr:rowOff>47625</xdr:rowOff>
    </xdr:from>
    <xdr:to>
      <xdr:col>9</xdr:col>
      <xdr:colOff>1716283</xdr:colOff>
      <xdr:row>4</xdr:row>
      <xdr:rowOff>9525</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886575" y="628650"/>
          <a:ext cx="1725808" cy="1524000"/>
        </a:xfrm>
        <a:prstGeom prst="rect">
          <a:avLst/>
        </a:prstGeom>
        <a:noFill/>
      </xdr:spPr>
    </xdr:pic>
    <xdr:clientData/>
  </xdr:twoCellAnchor>
  <xdr:twoCellAnchor editAs="oneCell">
    <xdr:from>
      <xdr:col>7</xdr:col>
      <xdr:colOff>0</xdr:colOff>
      <xdr:row>32</xdr:row>
      <xdr:rowOff>0</xdr:rowOff>
    </xdr:from>
    <xdr:to>
      <xdr:col>8</xdr:col>
      <xdr:colOff>209550</xdr:colOff>
      <xdr:row>38</xdr:row>
      <xdr:rowOff>127344</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4772025" y="19745325"/>
          <a:ext cx="1724025" cy="1613244"/>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28576</xdr:colOff>
      <xdr:row>1</xdr:row>
      <xdr:rowOff>85725</xdr:rowOff>
    </xdr:from>
    <xdr:to>
      <xdr:col>9</xdr:col>
      <xdr:colOff>1362076</xdr:colOff>
      <xdr:row>5</xdr:row>
      <xdr:rowOff>290703</xdr:rowOff>
    </xdr:to>
    <xdr:pic>
      <xdr:nvPicPr>
        <xdr:cNvPr id="4"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6629401" y="666750"/>
          <a:ext cx="1333500" cy="2395728"/>
        </a:xfrm>
        <a:prstGeom prst="rect">
          <a:avLst/>
        </a:prstGeom>
        <a:noFill/>
      </xdr:spPr>
    </xdr:pic>
    <xdr:clientData/>
  </xdr:twoCellAnchor>
  <xdr:twoCellAnchor editAs="oneCell">
    <xdr:from>
      <xdr:col>7</xdr:col>
      <xdr:colOff>57149</xdr:colOff>
      <xdr:row>31</xdr:row>
      <xdr:rowOff>609600</xdr:rowOff>
    </xdr:from>
    <xdr:to>
      <xdr:col>7</xdr:col>
      <xdr:colOff>1362074</xdr:colOff>
      <xdr:row>38</xdr:row>
      <xdr:rowOff>25518</xdr:rowOff>
    </xdr:to>
    <xdr:pic>
      <xdr:nvPicPr>
        <xdr:cNvPr id="5"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4829174" y="19726275"/>
          <a:ext cx="1304925" cy="1530468"/>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361950</xdr:colOff>
      <xdr:row>1</xdr:row>
      <xdr:rowOff>276225</xdr:rowOff>
    </xdr:from>
    <xdr:to>
      <xdr:col>9</xdr:col>
      <xdr:colOff>1728185</xdr:colOff>
      <xdr:row>4</xdr:row>
      <xdr:rowOff>272401</xdr:rowOff>
    </xdr:to>
    <xdr:pic>
      <xdr:nvPicPr>
        <xdr:cNvPr id="4" name="Picture 1">
          <a:extLst>
            <a:ext uri="{FF2B5EF4-FFF2-40B4-BE49-F238E27FC236}">
              <a16:creationId xmlns="" xmlns:a16="http://schemas.microsoft.com/office/drawing/2014/main" id="{00000000-0008-0000-0300-0000011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981950" y="857250"/>
          <a:ext cx="1366235" cy="1558276"/>
        </a:xfrm>
        <a:prstGeom prst="rect">
          <a:avLst/>
        </a:prstGeom>
        <a:noFill/>
      </xdr:spPr>
    </xdr:pic>
    <xdr:clientData/>
  </xdr:twoCellAnchor>
  <xdr:twoCellAnchor editAs="oneCell">
    <xdr:from>
      <xdr:col>7</xdr:col>
      <xdr:colOff>0</xdr:colOff>
      <xdr:row>32</xdr:row>
      <xdr:rowOff>0</xdr:rowOff>
    </xdr:from>
    <xdr:to>
      <xdr:col>9</xdr:col>
      <xdr:colOff>9525</xdr:colOff>
      <xdr:row>38</xdr:row>
      <xdr:rowOff>85802</xdr:rowOff>
    </xdr:to>
    <xdr:pic>
      <xdr:nvPicPr>
        <xdr:cNvPr id="5" name="Picture 2">
          <a:extLst>
            <a:ext uri="{FF2B5EF4-FFF2-40B4-BE49-F238E27FC236}">
              <a16:creationId xmlns="" xmlns:a16="http://schemas.microsoft.com/office/drawing/2014/main" id="{00000000-0008-0000-0300-000002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772025" y="19745325"/>
          <a:ext cx="1724025" cy="1571702"/>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323850</xdr:colOff>
      <xdr:row>1</xdr:row>
      <xdr:rowOff>76200</xdr:rowOff>
    </xdr:from>
    <xdr:to>
      <xdr:col>9</xdr:col>
      <xdr:colOff>1438275</xdr:colOff>
      <xdr:row>4</xdr:row>
      <xdr:rowOff>210318</xdr:rowOff>
    </xdr:to>
    <xdr:pic>
      <xdr:nvPicPr>
        <xdr:cNvPr id="4" name="Picture 2">
          <a:extLst>
            <a:ext uri="{FF2B5EF4-FFF2-40B4-BE49-F238E27FC236}">
              <a16:creationId xmlns="" xmlns:a16="http://schemas.microsoft.com/office/drawing/2014/main" id="{00000000-0008-0000-0400-000002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10350" y="657225"/>
          <a:ext cx="1724025" cy="1696218"/>
        </a:xfrm>
        <a:prstGeom prst="rect">
          <a:avLst/>
        </a:prstGeom>
        <a:noFill/>
      </xdr:spPr>
    </xdr:pic>
    <xdr:clientData/>
  </xdr:twoCellAnchor>
  <xdr:twoCellAnchor editAs="oneCell">
    <xdr:from>
      <xdr:col>7</xdr:col>
      <xdr:colOff>142875</xdr:colOff>
      <xdr:row>31</xdr:row>
      <xdr:rowOff>552450</xdr:rowOff>
    </xdr:from>
    <xdr:to>
      <xdr:col>8</xdr:col>
      <xdr:colOff>42393</xdr:colOff>
      <xdr:row>38</xdr:row>
      <xdr:rowOff>57150</xdr:rowOff>
    </xdr:to>
    <xdr:pic>
      <xdr:nvPicPr>
        <xdr:cNvPr id="5" name="Picture 1">
          <a:extLst>
            <a:ext uri="{FF2B5EF4-FFF2-40B4-BE49-F238E27FC236}">
              <a16:creationId xmlns="" xmlns:a16="http://schemas.microsoft.com/office/drawing/2014/main" id="{00000000-0008-0000-0400-0000011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914900" y="19669125"/>
          <a:ext cx="1413993" cy="1619250"/>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0</xdr:colOff>
      <xdr:row>31</xdr:row>
      <xdr:rowOff>628649</xdr:rowOff>
    </xdr:from>
    <xdr:to>
      <xdr:col>9</xdr:col>
      <xdr:colOff>214937</xdr:colOff>
      <xdr:row>37</xdr:row>
      <xdr:rowOff>66674</xdr:rowOff>
    </xdr:to>
    <xdr:pic>
      <xdr:nvPicPr>
        <xdr:cNvPr id="5" name="Picture 1">
          <a:extLst>
            <a:ext uri="{FF2B5EF4-FFF2-40B4-BE49-F238E27FC236}">
              <a16:creationId xmlns="" xmlns:a16="http://schemas.microsoft.com/office/drawing/2014/main" id="{00000000-0008-0000-0600-000001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72025" y="19745324"/>
          <a:ext cx="2339012" cy="1362075"/>
        </a:xfrm>
        <a:prstGeom prst="rect">
          <a:avLst/>
        </a:prstGeom>
        <a:noFill/>
      </xdr:spPr>
    </xdr:pic>
    <xdr:clientData/>
  </xdr:twoCellAnchor>
  <xdr:twoCellAnchor editAs="oneCell">
    <xdr:from>
      <xdr:col>9</xdr:col>
      <xdr:colOff>0</xdr:colOff>
      <xdr:row>2</xdr:row>
      <xdr:rowOff>0</xdr:rowOff>
    </xdr:from>
    <xdr:to>
      <xdr:col>9</xdr:col>
      <xdr:colOff>1635945</xdr:colOff>
      <xdr:row>4</xdr:row>
      <xdr:rowOff>528078</xdr:rowOff>
    </xdr:to>
    <xdr:pic>
      <xdr:nvPicPr>
        <xdr:cNvPr id="6" name="Picture 1"/>
        <xdr:cNvPicPr>
          <a:picLocks noChangeAspect="1" noChangeArrowheads="1"/>
        </xdr:cNvPicPr>
      </xdr:nvPicPr>
      <xdr:blipFill>
        <a:blip xmlns:r="http://schemas.openxmlformats.org/officeDocument/2006/relationships" r:embed="rId2" cstate="print"/>
        <a:srcRect/>
        <a:stretch>
          <a:fillRect/>
        </a:stretch>
      </xdr:blipFill>
      <xdr:spPr bwMode="auto">
        <a:xfrm rot="599446">
          <a:off x="7353300" y="876300"/>
          <a:ext cx="1635945" cy="1794903"/>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752474</xdr:colOff>
      <xdr:row>1</xdr:row>
      <xdr:rowOff>32492</xdr:rowOff>
    </xdr:from>
    <xdr:to>
      <xdr:col>35</xdr:col>
      <xdr:colOff>111044</xdr:colOff>
      <xdr:row>3</xdr:row>
      <xdr:rowOff>542925</xdr:rowOff>
    </xdr:to>
    <xdr:pic>
      <xdr:nvPicPr>
        <xdr:cNvPr id="5" name="Picture 1">
          <a:extLst>
            <a:ext uri="{FF2B5EF4-FFF2-40B4-BE49-F238E27FC236}">
              <a16:creationId xmlns=""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010524" y="613517"/>
          <a:ext cx="1530270" cy="1443883"/>
        </a:xfrm>
        <a:prstGeom prst="rect">
          <a:avLst/>
        </a:prstGeom>
        <a:noFill/>
      </xdr:spPr>
    </xdr:pic>
    <xdr:clientData/>
  </xdr:twoCellAnchor>
  <xdr:twoCellAnchor editAs="oneCell">
    <xdr:from>
      <xdr:col>7</xdr:col>
      <xdr:colOff>285750</xdr:colOff>
      <xdr:row>31</xdr:row>
      <xdr:rowOff>600075</xdr:rowOff>
    </xdr:from>
    <xdr:to>
      <xdr:col>8</xdr:col>
      <xdr:colOff>133350</xdr:colOff>
      <xdr:row>39</xdr:row>
      <xdr:rowOff>43113</xdr:rowOff>
    </xdr:to>
    <xdr:pic>
      <xdr:nvPicPr>
        <xdr:cNvPr id="6"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57775" y="19716750"/>
          <a:ext cx="1362075" cy="1748088"/>
        </a:xfrm>
        <a:prstGeom prst="rect">
          <a:avLst/>
        </a:prstGeom>
        <a:noFill/>
      </xdr:spPr>
    </xdr:pic>
    <xdr:clientData/>
  </xdr:twoCellAnchor>
  <xdr:twoCellAnchor editAs="oneCell">
    <xdr:from>
      <xdr:col>7</xdr:col>
      <xdr:colOff>1304925</xdr:colOff>
      <xdr:row>35</xdr:row>
      <xdr:rowOff>38100</xdr:rowOff>
    </xdr:from>
    <xdr:to>
      <xdr:col>9</xdr:col>
      <xdr:colOff>407605</xdr:colOff>
      <xdr:row>38</xdr:row>
      <xdr:rowOff>180975</xdr:rowOff>
    </xdr:to>
    <xdr:pic>
      <xdr:nvPicPr>
        <xdr:cNvPr id="7" name="Picture 1">
          <a:extLst>
            <a:ext uri="{FF2B5EF4-FFF2-40B4-BE49-F238E27FC236}">
              <a16:creationId xmlns="" xmlns:a16="http://schemas.microsoft.com/office/drawing/2014/main" id="{00000000-0008-0000-0600-000001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076950" y="20697825"/>
          <a:ext cx="1226755" cy="714375"/>
        </a:xfrm>
        <a:prstGeom prst="rect">
          <a:avLst/>
        </a:prstGeom>
        <a:noFill/>
      </xdr:spPr>
    </xdr:pic>
    <xdr:clientData/>
  </xdr:twoCellAnchor>
  <xdr:twoCellAnchor editAs="oneCell">
    <xdr:from>
      <xdr:col>8</xdr:col>
      <xdr:colOff>152400</xdr:colOff>
      <xdr:row>2</xdr:row>
      <xdr:rowOff>66675</xdr:rowOff>
    </xdr:from>
    <xdr:to>
      <xdr:col>9</xdr:col>
      <xdr:colOff>1194829</xdr:colOff>
      <xdr:row>3</xdr:row>
      <xdr:rowOff>390525</xdr:rowOff>
    </xdr:to>
    <xdr:pic>
      <xdr:nvPicPr>
        <xdr:cNvPr id="8" name="Picture 1">
          <a:extLst>
            <a:ext uri="{FF2B5EF4-FFF2-40B4-BE49-F238E27FC236}">
              <a16:creationId xmlns="" xmlns:a16="http://schemas.microsoft.com/office/drawing/2014/main" id="{00000000-0008-0000-0600-000001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438900" y="942975"/>
          <a:ext cx="1652029" cy="962025"/>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228600</xdr:colOff>
      <xdr:row>1</xdr:row>
      <xdr:rowOff>47625</xdr:rowOff>
    </xdr:from>
    <xdr:to>
      <xdr:col>9</xdr:col>
      <xdr:colOff>1314450</xdr:colOff>
      <xdr:row>3</xdr:row>
      <xdr:rowOff>597694</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515100" y="628650"/>
          <a:ext cx="1695450" cy="1483519"/>
        </a:xfrm>
        <a:prstGeom prst="rect">
          <a:avLst/>
        </a:prstGeom>
        <a:noFill/>
      </xdr:spPr>
    </xdr:pic>
    <xdr:clientData/>
  </xdr:twoCellAnchor>
  <xdr:twoCellAnchor editAs="oneCell">
    <xdr:from>
      <xdr:col>7</xdr:col>
      <xdr:colOff>200025</xdr:colOff>
      <xdr:row>32</xdr:row>
      <xdr:rowOff>0</xdr:rowOff>
    </xdr:from>
    <xdr:to>
      <xdr:col>8</xdr:col>
      <xdr:colOff>247650</xdr:colOff>
      <xdr:row>38</xdr:row>
      <xdr:rowOff>57227</xdr:rowOff>
    </xdr:to>
    <xdr:pic>
      <xdr:nvPicPr>
        <xdr:cNvPr id="5"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972050" y="19745325"/>
          <a:ext cx="1562100" cy="1543127"/>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0</xdr:colOff>
      <xdr:row>32</xdr:row>
      <xdr:rowOff>0</xdr:rowOff>
    </xdr:from>
    <xdr:to>
      <xdr:col>7</xdr:col>
      <xdr:colOff>1438275</xdr:colOff>
      <xdr:row>39</xdr:row>
      <xdr:rowOff>22852</xdr:rowOff>
    </xdr:to>
    <xdr:pic>
      <xdr:nvPicPr>
        <xdr:cNvPr id="4"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4772025" y="19745325"/>
          <a:ext cx="1438275" cy="1699252"/>
        </a:xfrm>
        <a:prstGeom prst="rect">
          <a:avLst/>
        </a:prstGeom>
        <a:noFill/>
      </xdr:spPr>
    </xdr:pic>
    <xdr:clientData/>
  </xdr:twoCellAnchor>
  <xdr:twoCellAnchor editAs="oneCell">
    <xdr:from>
      <xdr:col>8</xdr:col>
      <xdr:colOff>400050</xdr:colOff>
      <xdr:row>1</xdr:row>
      <xdr:rowOff>85725</xdr:rowOff>
    </xdr:from>
    <xdr:to>
      <xdr:col>9</xdr:col>
      <xdr:colOff>1724025</xdr:colOff>
      <xdr:row>4</xdr:row>
      <xdr:rowOff>292807</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6686550" y="666750"/>
          <a:ext cx="1933575" cy="1769182"/>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57150</xdr:colOff>
      <xdr:row>31</xdr:row>
      <xdr:rowOff>609600</xdr:rowOff>
    </xdr:from>
    <xdr:to>
      <xdr:col>8</xdr:col>
      <xdr:colOff>252721</xdr:colOff>
      <xdr:row>37</xdr:row>
      <xdr:rowOff>180975</xdr:rowOff>
    </xdr:to>
    <xdr:pic>
      <xdr:nvPicPr>
        <xdr:cNvPr id="4"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4829175" y="19726275"/>
          <a:ext cx="1710046" cy="1495425"/>
        </a:xfrm>
        <a:prstGeom prst="rect">
          <a:avLst/>
        </a:prstGeom>
        <a:noFill/>
      </xdr:spPr>
    </xdr:pic>
    <xdr:clientData/>
  </xdr:twoCellAnchor>
  <xdr:twoCellAnchor editAs="oneCell">
    <xdr:from>
      <xdr:col>9</xdr:col>
      <xdr:colOff>0</xdr:colOff>
      <xdr:row>2</xdr:row>
      <xdr:rowOff>0</xdr:rowOff>
    </xdr:from>
    <xdr:to>
      <xdr:col>9</xdr:col>
      <xdr:colOff>1181871</xdr:colOff>
      <xdr:row>5</xdr:row>
      <xdr:rowOff>171450</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6896100" y="876300"/>
          <a:ext cx="1181871" cy="2066925"/>
        </a:xfrm>
        <a:prstGeom prst="rect">
          <a:avLst/>
        </a:prstGeom>
        <a:no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133350</xdr:colOff>
      <xdr:row>32</xdr:row>
      <xdr:rowOff>66675</xdr:rowOff>
    </xdr:from>
    <xdr:to>
      <xdr:col>8</xdr:col>
      <xdr:colOff>295275</xdr:colOff>
      <xdr:row>38</xdr:row>
      <xdr:rowOff>129257</xdr:rowOff>
    </xdr:to>
    <xdr:pic>
      <xdr:nvPicPr>
        <xdr:cNvPr id="4" name="Picture 2">
          <a:extLst>
            <a:ext uri="{FF2B5EF4-FFF2-40B4-BE49-F238E27FC236}">
              <a16:creationId xmlns="" xmlns:a16="http://schemas.microsoft.com/office/drawing/2014/main" id="{00000000-0008-0000-0E00-0000022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905375" y="19812000"/>
          <a:ext cx="1676400" cy="1548482"/>
        </a:xfrm>
        <a:prstGeom prst="rect">
          <a:avLst/>
        </a:prstGeom>
        <a:noFill/>
      </xdr:spPr>
    </xdr:pic>
    <xdr:clientData/>
  </xdr:twoCellAnchor>
  <xdr:twoCellAnchor editAs="oneCell">
    <xdr:from>
      <xdr:col>9</xdr:col>
      <xdr:colOff>409575</xdr:colOff>
      <xdr:row>1</xdr:row>
      <xdr:rowOff>14935</xdr:rowOff>
    </xdr:from>
    <xdr:to>
      <xdr:col>9</xdr:col>
      <xdr:colOff>1743075</xdr:colOff>
      <xdr:row>4</xdr:row>
      <xdr:rowOff>447751</xdr:rowOff>
    </xdr:to>
    <xdr:pic>
      <xdr:nvPicPr>
        <xdr:cNvPr id="5" name="Picture 1">
          <a:extLst>
            <a:ext uri="{FF2B5EF4-FFF2-40B4-BE49-F238E27FC236}">
              <a16:creationId xmlns="" xmlns:a16="http://schemas.microsoft.com/office/drawing/2014/main" id="{00000000-0008-0000-0E00-0000012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305675" y="595960"/>
          <a:ext cx="1333500" cy="1994916"/>
        </a:xfrm>
        <a:prstGeom prst="rect">
          <a:avLst/>
        </a:prstGeom>
        <a:noFill/>
        <a:ln w="1">
          <a:noFill/>
          <a:miter lim="800000"/>
          <a:headEnd/>
          <a:tailEnd type="none" w="med" len="med"/>
        </a:ln>
        <a:effec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85725</xdr:colOff>
      <xdr:row>1</xdr:row>
      <xdr:rowOff>76200</xdr:rowOff>
    </xdr:from>
    <xdr:to>
      <xdr:col>9</xdr:col>
      <xdr:colOff>2167573</xdr:colOff>
      <xdr:row>4</xdr:row>
      <xdr:rowOff>19050</xdr:rowOff>
    </xdr:to>
    <xdr:pic>
      <xdr:nvPicPr>
        <xdr:cNvPr id="4" name="Picture 1">
          <a:extLst>
            <a:ext uri="{FF2B5EF4-FFF2-40B4-BE49-F238E27FC236}">
              <a16:creationId xmlns="" xmlns:a16="http://schemas.microsoft.com/office/drawing/2014/main" id="{00000000-0008-0000-0F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981825" y="657225"/>
          <a:ext cx="2081848" cy="1504950"/>
        </a:xfrm>
        <a:prstGeom prst="rect">
          <a:avLst/>
        </a:prstGeom>
        <a:noFill/>
      </xdr:spPr>
    </xdr:pic>
    <xdr:clientData/>
  </xdr:twoCellAnchor>
  <xdr:twoCellAnchor editAs="oneCell">
    <xdr:from>
      <xdr:col>7</xdr:col>
      <xdr:colOff>266700</xdr:colOff>
      <xdr:row>31</xdr:row>
      <xdr:rowOff>619125</xdr:rowOff>
    </xdr:from>
    <xdr:to>
      <xdr:col>8</xdr:col>
      <xdr:colOff>266700</xdr:colOff>
      <xdr:row>37</xdr:row>
      <xdr:rowOff>27083</xdr:rowOff>
    </xdr:to>
    <xdr:pic>
      <xdr:nvPicPr>
        <xdr:cNvPr id="5" name="Picture 2">
          <a:extLst>
            <a:ext uri="{FF2B5EF4-FFF2-40B4-BE49-F238E27FC236}">
              <a16:creationId xmlns="" xmlns:a16="http://schemas.microsoft.com/office/drawing/2014/main" id="{00000000-0008-0000-0F00-0000023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038725" y="19735800"/>
          <a:ext cx="1514475" cy="1332008"/>
        </a:xfrm>
        <a:prstGeom prst="rect">
          <a:avLst/>
        </a:prstGeom>
        <a:noFill/>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314324</xdr:colOff>
      <xdr:row>1</xdr:row>
      <xdr:rowOff>133350</xdr:rowOff>
    </xdr:from>
    <xdr:to>
      <xdr:col>9</xdr:col>
      <xdr:colOff>1581149</xdr:colOff>
      <xdr:row>4</xdr:row>
      <xdr:rowOff>280318</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00824" y="714375"/>
          <a:ext cx="1876425" cy="1709068"/>
        </a:xfrm>
        <a:prstGeom prst="rect">
          <a:avLst/>
        </a:prstGeom>
        <a:noFill/>
      </xdr:spPr>
    </xdr:pic>
    <xdr:clientData/>
  </xdr:twoCellAnchor>
  <xdr:twoCellAnchor editAs="oneCell">
    <xdr:from>
      <xdr:col>5</xdr:col>
      <xdr:colOff>1524000</xdr:colOff>
      <xdr:row>31</xdr:row>
      <xdr:rowOff>600075</xdr:rowOff>
    </xdr:from>
    <xdr:to>
      <xdr:col>7</xdr:col>
      <xdr:colOff>1333500</xdr:colOff>
      <xdr:row>39</xdr:row>
      <xdr:rowOff>91256</xdr:rowOff>
    </xdr:to>
    <xdr:pic>
      <xdr:nvPicPr>
        <xdr:cNvPr id="5"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600575" y="19716750"/>
          <a:ext cx="1504950" cy="1796231"/>
        </a:xfrm>
        <a:prstGeom prst="rect">
          <a:avLst/>
        </a:prstGeom>
        <a:no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190499</xdr:colOff>
      <xdr:row>2</xdr:row>
      <xdr:rowOff>54308</xdr:rowOff>
    </xdr:from>
    <xdr:to>
      <xdr:col>9</xdr:col>
      <xdr:colOff>2146382</xdr:colOff>
      <xdr:row>6</xdr:row>
      <xdr:rowOff>200025</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172324" y="930608"/>
          <a:ext cx="2565483" cy="2669842"/>
        </a:xfrm>
        <a:prstGeom prst="rect">
          <a:avLst/>
        </a:prstGeom>
        <a:noFill/>
      </xdr:spPr>
    </xdr:pic>
    <xdr:clientData/>
  </xdr:twoCellAnchor>
  <xdr:twoCellAnchor editAs="oneCell">
    <xdr:from>
      <xdr:col>7</xdr:col>
      <xdr:colOff>238125</xdr:colOff>
      <xdr:row>32</xdr:row>
      <xdr:rowOff>57150</xdr:rowOff>
    </xdr:from>
    <xdr:to>
      <xdr:col>8</xdr:col>
      <xdr:colOff>104373</xdr:colOff>
      <xdr:row>38</xdr:row>
      <xdr:rowOff>152400</xdr:rowOff>
    </xdr:to>
    <xdr:pic>
      <xdr:nvPicPr>
        <xdr:cNvPr id="5"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10150" y="19802475"/>
          <a:ext cx="1380723" cy="1581150"/>
        </a:xfrm>
        <a:prstGeom prst="rect">
          <a:avLst/>
        </a:prstGeom>
        <a:no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9</xdr:col>
      <xdr:colOff>295275</xdr:colOff>
      <xdr:row>1</xdr:row>
      <xdr:rowOff>95250</xdr:rowOff>
    </xdr:from>
    <xdr:to>
      <xdr:col>9</xdr:col>
      <xdr:colOff>1819275</xdr:colOff>
      <xdr:row>4</xdr:row>
      <xdr:rowOff>604377</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915150" y="676275"/>
          <a:ext cx="1524000" cy="2156952"/>
        </a:xfrm>
        <a:prstGeom prst="rect">
          <a:avLst/>
        </a:prstGeom>
        <a:noFill/>
      </xdr:spPr>
    </xdr:pic>
    <xdr:clientData/>
  </xdr:twoCellAnchor>
  <xdr:twoCellAnchor editAs="oneCell">
    <xdr:from>
      <xdr:col>7</xdr:col>
      <xdr:colOff>0</xdr:colOff>
      <xdr:row>32</xdr:row>
      <xdr:rowOff>0</xdr:rowOff>
    </xdr:from>
    <xdr:to>
      <xdr:col>7</xdr:col>
      <xdr:colOff>1046477</xdr:colOff>
      <xdr:row>39</xdr:row>
      <xdr:rowOff>14710</xdr:rowOff>
    </xdr:to>
    <xdr:pic>
      <xdr:nvPicPr>
        <xdr:cNvPr id="5" name="Picture 3"/>
        <xdr:cNvPicPr>
          <a:picLocks noChangeAspect="1" noChangeArrowheads="1"/>
        </xdr:cNvPicPr>
      </xdr:nvPicPr>
      <xdr:blipFill>
        <a:blip xmlns:r="http://schemas.openxmlformats.org/officeDocument/2006/relationships" r:embed="rId1" cstate="print"/>
        <a:srcRect/>
        <a:stretch>
          <a:fillRect/>
        </a:stretch>
      </xdr:blipFill>
      <xdr:spPr bwMode="auto">
        <a:xfrm flipH="1">
          <a:off x="4772025" y="19745325"/>
          <a:ext cx="1046477" cy="1691110"/>
        </a:xfrm>
        <a:prstGeom prst="rect">
          <a:avLst/>
        </a:prstGeom>
        <a:noFill/>
      </xdr:spPr>
    </xdr:pic>
    <xdr:clientData/>
  </xdr:twoCellAnchor>
  <xdr:twoCellAnchor editAs="oneCell">
    <xdr:from>
      <xdr:col>7</xdr:col>
      <xdr:colOff>1009650</xdr:colOff>
      <xdr:row>32</xdr:row>
      <xdr:rowOff>419100</xdr:rowOff>
    </xdr:from>
    <xdr:to>
      <xdr:col>9</xdr:col>
      <xdr:colOff>29959</xdr:colOff>
      <xdr:row>38</xdr:row>
      <xdr:rowOff>161925</xdr:rowOff>
    </xdr:to>
    <xdr:pic>
      <xdr:nvPicPr>
        <xdr:cNvPr id="6"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781675" y="20164425"/>
          <a:ext cx="868159" cy="1228725"/>
        </a:xfrm>
        <a:prstGeom prst="rect">
          <a:avLst/>
        </a:prstGeom>
        <a:noFill/>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8</xdr:col>
      <xdr:colOff>19050</xdr:colOff>
      <xdr:row>0</xdr:row>
      <xdr:rowOff>447675</xdr:rowOff>
    </xdr:from>
    <xdr:to>
      <xdr:col>9</xdr:col>
      <xdr:colOff>1114424</xdr:colOff>
      <xdr:row>0</xdr:row>
      <xdr:rowOff>1764708</xdr:rowOff>
    </xdr:to>
    <xdr:pic>
      <xdr:nvPicPr>
        <xdr:cNvPr id="2" name="Picture 1">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039600" y="447675"/>
          <a:ext cx="1133474" cy="1317033"/>
        </a:xfrm>
        <a:prstGeom prst="rect">
          <a:avLst/>
        </a:prstGeom>
        <a:noFill/>
      </xdr:spPr>
    </xdr:pic>
    <xdr:clientData/>
  </xdr:twoCellAnchor>
  <xdr:twoCellAnchor editAs="oneCell">
    <xdr:from>
      <xdr:col>3</xdr:col>
      <xdr:colOff>47625</xdr:colOff>
      <xdr:row>9</xdr:row>
      <xdr:rowOff>156949</xdr:rowOff>
    </xdr:from>
    <xdr:to>
      <xdr:col>3</xdr:col>
      <xdr:colOff>800100</xdr:colOff>
      <xdr:row>11</xdr:row>
      <xdr:rowOff>40683</xdr:rowOff>
    </xdr:to>
    <xdr:pic>
      <xdr:nvPicPr>
        <xdr:cNvPr id="3" name="Picture 2">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43500" y="6300574"/>
          <a:ext cx="752475" cy="874334"/>
        </a:xfrm>
        <a:prstGeom prst="rect">
          <a:avLst/>
        </a:prstGeom>
        <a:noFill/>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7</xdr:col>
      <xdr:colOff>600076</xdr:colOff>
      <xdr:row>31</xdr:row>
      <xdr:rowOff>524483</xdr:rowOff>
    </xdr:from>
    <xdr:to>
      <xdr:col>7</xdr:col>
      <xdr:colOff>609600</xdr:colOff>
      <xdr:row>32</xdr:row>
      <xdr:rowOff>266699</xdr:rowOff>
    </xdr:to>
    <xdr:pic>
      <xdr:nvPicPr>
        <xdr:cNvPr id="2" name="Picture 1">
          <a:extLst>
            <a:ext uri="{FF2B5EF4-FFF2-40B4-BE49-F238E27FC236}">
              <a16:creationId xmlns=""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19307783"/>
          <a:ext cx="9524" cy="428016"/>
        </a:xfrm>
        <a:prstGeom prst="rect">
          <a:avLst/>
        </a:prstGeom>
        <a:noFill/>
      </xdr:spPr>
    </xdr:pic>
    <xdr:clientData/>
  </xdr:twoCellAnchor>
  <xdr:twoCellAnchor editAs="oneCell">
    <xdr:from>
      <xdr:col>7</xdr:col>
      <xdr:colOff>600076</xdr:colOff>
      <xdr:row>32</xdr:row>
      <xdr:rowOff>524483</xdr:rowOff>
    </xdr:from>
    <xdr:to>
      <xdr:col>7</xdr:col>
      <xdr:colOff>609600</xdr:colOff>
      <xdr:row>34</xdr:row>
      <xdr:rowOff>66674</xdr:rowOff>
    </xdr:to>
    <xdr:pic>
      <xdr:nvPicPr>
        <xdr:cNvPr id="3" name="Picture 2">
          <a:extLst>
            <a:ext uri="{FF2B5EF4-FFF2-40B4-BE49-F238E27FC236}">
              <a16:creationId xmlns=""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19993583"/>
          <a:ext cx="9524" cy="418491"/>
        </a:xfrm>
        <a:prstGeom prst="rect">
          <a:avLst/>
        </a:prstGeom>
        <a:noFill/>
      </xdr:spPr>
    </xdr:pic>
    <xdr:clientData/>
  </xdr:twoCellAnchor>
  <xdr:twoCellAnchor editAs="oneCell">
    <xdr:from>
      <xdr:col>7</xdr:col>
      <xdr:colOff>600076</xdr:colOff>
      <xdr:row>32</xdr:row>
      <xdr:rowOff>524483</xdr:rowOff>
    </xdr:from>
    <xdr:to>
      <xdr:col>7</xdr:col>
      <xdr:colOff>609600</xdr:colOff>
      <xdr:row>34</xdr:row>
      <xdr:rowOff>66674</xdr:rowOff>
    </xdr:to>
    <xdr:pic>
      <xdr:nvPicPr>
        <xdr:cNvPr id="4" name="Picture 3">
          <a:extLst>
            <a:ext uri="{FF2B5EF4-FFF2-40B4-BE49-F238E27FC236}">
              <a16:creationId xmlns=""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19993583"/>
          <a:ext cx="9524" cy="418491"/>
        </a:xfrm>
        <a:prstGeom prst="rect">
          <a:avLst/>
        </a:prstGeom>
        <a:noFill/>
      </xdr:spPr>
    </xdr:pic>
    <xdr:clientData/>
  </xdr:twoCellAnchor>
  <xdr:twoCellAnchor editAs="oneCell">
    <xdr:from>
      <xdr:col>7</xdr:col>
      <xdr:colOff>0</xdr:colOff>
      <xdr:row>0</xdr:row>
      <xdr:rowOff>0</xdr:rowOff>
    </xdr:from>
    <xdr:to>
      <xdr:col>7</xdr:col>
      <xdr:colOff>1351905</xdr:colOff>
      <xdr:row>3</xdr:row>
      <xdr:rowOff>590550</xdr:rowOff>
    </xdr:to>
    <xdr:pic>
      <xdr:nvPicPr>
        <xdr:cNvPr id="15361" name="Picture 1">
          <a:extLst>
            <a:ext uri="{FF2B5EF4-FFF2-40B4-BE49-F238E27FC236}">
              <a16:creationId xmlns="" xmlns:a16="http://schemas.microsoft.com/office/drawing/2014/main" id="{00000000-0008-0000-1100-0000013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372100" y="0"/>
          <a:ext cx="1351905" cy="1771650"/>
        </a:xfrm>
        <a:prstGeom prst="rect">
          <a:avLst/>
        </a:prstGeom>
        <a:noFill/>
      </xdr:spPr>
    </xdr:pic>
    <xdr:clientData/>
  </xdr:twoCellAnchor>
  <xdr:twoCellAnchor editAs="oneCell">
    <xdr:from>
      <xdr:col>7</xdr:col>
      <xdr:colOff>38100</xdr:colOff>
      <xdr:row>31</xdr:row>
      <xdr:rowOff>66675</xdr:rowOff>
    </xdr:from>
    <xdr:to>
      <xdr:col>7</xdr:col>
      <xdr:colOff>1418823</xdr:colOff>
      <xdr:row>34</xdr:row>
      <xdr:rowOff>85725</xdr:rowOff>
    </xdr:to>
    <xdr:pic>
      <xdr:nvPicPr>
        <xdr:cNvPr id="15362" name="Picture 2">
          <a:extLst>
            <a:ext uri="{FF2B5EF4-FFF2-40B4-BE49-F238E27FC236}">
              <a16:creationId xmlns="" xmlns:a16="http://schemas.microsoft.com/office/drawing/2014/main" id="{00000000-0008-0000-1100-0000023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410200" y="18849975"/>
          <a:ext cx="1380723" cy="1581150"/>
        </a:xfrm>
        <a:prstGeom prst="rect">
          <a:avLst/>
        </a:prstGeom>
        <a:noFill/>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600076</xdr:colOff>
      <xdr:row>33</xdr:row>
      <xdr:rowOff>524483</xdr:rowOff>
    </xdr:from>
    <xdr:to>
      <xdr:col>7</xdr:col>
      <xdr:colOff>609600</xdr:colOff>
      <xdr:row>34</xdr:row>
      <xdr:rowOff>266699</xdr:rowOff>
    </xdr:to>
    <xdr:pic>
      <xdr:nvPicPr>
        <xdr:cNvPr id="2" name="Picture 1">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20041208"/>
          <a:ext cx="9524" cy="428016"/>
        </a:xfrm>
        <a:prstGeom prst="rect">
          <a:avLst/>
        </a:prstGeom>
        <a:noFill/>
      </xdr:spPr>
    </xdr:pic>
    <xdr:clientData/>
  </xdr:twoCellAnchor>
  <xdr:twoCellAnchor editAs="oneCell">
    <xdr:from>
      <xdr:col>7</xdr:col>
      <xdr:colOff>600076</xdr:colOff>
      <xdr:row>34</xdr:row>
      <xdr:rowOff>524483</xdr:rowOff>
    </xdr:from>
    <xdr:to>
      <xdr:col>7</xdr:col>
      <xdr:colOff>609600</xdr:colOff>
      <xdr:row>36</xdr:row>
      <xdr:rowOff>66674</xdr:rowOff>
    </xdr:to>
    <xdr:pic>
      <xdr:nvPicPr>
        <xdr:cNvPr id="3" name="Picture 2">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20727008"/>
          <a:ext cx="9524" cy="418491"/>
        </a:xfrm>
        <a:prstGeom prst="rect">
          <a:avLst/>
        </a:prstGeom>
        <a:noFill/>
      </xdr:spPr>
    </xdr:pic>
    <xdr:clientData/>
  </xdr:twoCellAnchor>
  <xdr:twoCellAnchor editAs="oneCell">
    <xdr:from>
      <xdr:col>7</xdr:col>
      <xdr:colOff>600076</xdr:colOff>
      <xdr:row>34</xdr:row>
      <xdr:rowOff>524483</xdr:rowOff>
    </xdr:from>
    <xdr:to>
      <xdr:col>7</xdr:col>
      <xdr:colOff>609600</xdr:colOff>
      <xdr:row>36</xdr:row>
      <xdr:rowOff>66674</xdr:rowOff>
    </xdr:to>
    <xdr:pic>
      <xdr:nvPicPr>
        <xdr:cNvPr id="4" name="Picture 3">
          <a:extLst>
            <a:ext uri="{FF2B5EF4-FFF2-40B4-BE49-F238E27FC236}">
              <a16:creationId xmlns=""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20727008"/>
          <a:ext cx="9524" cy="418491"/>
        </a:xfrm>
        <a:prstGeom prst="rect">
          <a:avLst/>
        </a:prstGeom>
        <a:noFill/>
      </xdr:spPr>
    </xdr:pic>
    <xdr:clientData/>
  </xdr:twoCellAnchor>
  <xdr:twoCellAnchor editAs="oneCell">
    <xdr:from>
      <xdr:col>7</xdr:col>
      <xdr:colOff>57150</xdr:colOff>
      <xdr:row>0</xdr:row>
      <xdr:rowOff>0</xdr:rowOff>
    </xdr:from>
    <xdr:to>
      <xdr:col>8</xdr:col>
      <xdr:colOff>66675</xdr:colOff>
      <xdr:row>4</xdr:row>
      <xdr:rowOff>404352</xdr:rowOff>
    </xdr:to>
    <xdr:pic>
      <xdr:nvPicPr>
        <xdr:cNvPr id="1025" name="Picture 1">
          <a:extLst>
            <a:ext uri="{FF2B5EF4-FFF2-40B4-BE49-F238E27FC236}">
              <a16:creationId xmlns="" xmlns:a16="http://schemas.microsoft.com/office/drawing/2014/main" id="{00000000-0008-0000-1200-000001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429250" y="0"/>
          <a:ext cx="1524000" cy="2156952"/>
        </a:xfrm>
        <a:prstGeom prst="rect">
          <a:avLst/>
        </a:prstGeom>
        <a:noFill/>
      </xdr:spPr>
    </xdr:pic>
    <xdr:clientData/>
  </xdr:twoCellAnchor>
  <xdr:twoCellAnchor editAs="oneCell">
    <xdr:from>
      <xdr:col>7</xdr:col>
      <xdr:colOff>1343025</xdr:colOff>
      <xdr:row>33</xdr:row>
      <xdr:rowOff>476250</xdr:rowOff>
    </xdr:from>
    <xdr:to>
      <xdr:col>9</xdr:col>
      <xdr:colOff>87109</xdr:colOff>
      <xdr:row>36</xdr:row>
      <xdr:rowOff>142875</xdr:rowOff>
    </xdr:to>
    <xdr:pic>
      <xdr:nvPicPr>
        <xdr:cNvPr id="1026" name="Picture 2">
          <a:extLst>
            <a:ext uri="{FF2B5EF4-FFF2-40B4-BE49-F238E27FC236}">
              <a16:creationId xmlns="" xmlns:a16="http://schemas.microsoft.com/office/drawing/2014/main" id="{00000000-0008-0000-1200-000002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715125" y="19992975"/>
          <a:ext cx="868159" cy="1228725"/>
        </a:xfrm>
        <a:prstGeom prst="rect">
          <a:avLst/>
        </a:prstGeom>
        <a:noFill/>
      </xdr:spPr>
    </xdr:pic>
    <xdr:clientData/>
  </xdr:twoCellAnchor>
  <xdr:twoCellAnchor editAs="oneCell">
    <xdr:from>
      <xdr:col>7</xdr:col>
      <xdr:colOff>285750</xdr:colOff>
      <xdr:row>33</xdr:row>
      <xdr:rowOff>32916</xdr:rowOff>
    </xdr:from>
    <xdr:to>
      <xdr:col>7</xdr:col>
      <xdr:colOff>1332227</xdr:colOff>
      <xdr:row>36</xdr:row>
      <xdr:rowOff>161926</xdr:rowOff>
    </xdr:to>
    <xdr:pic>
      <xdr:nvPicPr>
        <xdr:cNvPr id="1027" name="Picture 3">
          <a:extLst>
            <a:ext uri="{FF2B5EF4-FFF2-40B4-BE49-F238E27FC236}">
              <a16:creationId xmlns="" xmlns:a16="http://schemas.microsoft.com/office/drawing/2014/main" id="{00000000-0008-0000-1200-000003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flipH="1">
          <a:off x="5657850" y="19549641"/>
          <a:ext cx="1046477" cy="1691110"/>
        </a:xfrm>
        <a:prstGeom prst="rect">
          <a:avLst/>
        </a:prstGeom>
        <a:noFill/>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600076</xdr:colOff>
      <xdr:row>31</xdr:row>
      <xdr:rowOff>524483</xdr:rowOff>
    </xdr:from>
    <xdr:to>
      <xdr:col>7</xdr:col>
      <xdr:colOff>609600</xdr:colOff>
      <xdr:row>32</xdr:row>
      <xdr:rowOff>266699</xdr:rowOff>
    </xdr:to>
    <xdr:pic>
      <xdr:nvPicPr>
        <xdr:cNvPr id="2" name="Picture 1">
          <a:extLst>
            <a:ext uri="{FF2B5EF4-FFF2-40B4-BE49-F238E27FC236}">
              <a16:creationId xmlns=""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19498283"/>
          <a:ext cx="9524" cy="428016"/>
        </a:xfrm>
        <a:prstGeom prst="rect">
          <a:avLst/>
        </a:prstGeom>
        <a:noFill/>
      </xdr:spPr>
    </xdr:pic>
    <xdr:clientData/>
  </xdr:twoCellAnchor>
  <xdr:twoCellAnchor editAs="oneCell">
    <xdr:from>
      <xdr:col>7</xdr:col>
      <xdr:colOff>600076</xdr:colOff>
      <xdr:row>32</xdr:row>
      <xdr:rowOff>524483</xdr:rowOff>
    </xdr:from>
    <xdr:to>
      <xdr:col>7</xdr:col>
      <xdr:colOff>609600</xdr:colOff>
      <xdr:row>34</xdr:row>
      <xdr:rowOff>66674</xdr:rowOff>
    </xdr:to>
    <xdr:pic>
      <xdr:nvPicPr>
        <xdr:cNvPr id="3" name="Picture 2">
          <a:extLst>
            <a:ext uri="{FF2B5EF4-FFF2-40B4-BE49-F238E27FC236}">
              <a16:creationId xmlns=""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20184083"/>
          <a:ext cx="9524" cy="418491"/>
        </a:xfrm>
        <a:prstGeom prst="rect">
          <a:avLst/>
        </a:prstGeom>
        <a:noFill/>
      </xdr:spPr>
    </xdr:pic>
    <xdr:clientData/>
  </xdr:twoCellAnchor>
  <xdr:twoCellAnchor editAs="oneCell">
    <xdr:from>
      <xdr:col>7</xdr:col>
      <xdr:colOff>600076</xdr:colOff>
      <xdr:row>32</xdr:row>
      <xdr:rowOff>524483</xdr:rowOff>
    </xdr:from>
    <xdr:to>
      <xdr:col>7</xdr:col>
      <xdr:colOff>609600</xdr:colOff>
      <xdr:row>34</xdr:row>
      <xdr:rowOff>66674</xdr:rowOff>
    </xdr:to>
    <xdr:pic>
      <xdr:nvPicPr>
        <xdr:cNvPr id="4" name="Picture 3">
          <a:extLst>
            <a:ext uri="{FF2B5EF4-FFF2-40B4-BE49-F238E27FC236}">
              <a16:creationId xmlns=""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2176" y="20184083"/>
          <a:ext cx="9524" cy="418491"/>
        </a:xfrm>
        <a:prstGeom prst="rect">
          <a:avLst/>
        </a:prstGeom>
        <a:noFill/>
      </xdr:spPr>
    </xdr:pic>
    <xdr:clientData/>
  </xdr:twoCellAnchor>
  <xdr:twoCellAnchor editAs="oneCell">
    <xdr:from>
      <xdr:col>6</xdr:col>
      <xdr:colOff>38101</xdr:colOff>
      <xdr:row>0</xdr:row>
      <xdr:rowOff>24482</xdr:rowOff>
    </xdr:from>
    <xdr:to>
      <xdr:col>8</xdr:col>
      <xdr:colOff>152401</xdr:colOff>
      <xdr:row>3</xdr:row>
      <xdr:rowOff>361950</xdr:rowOff>
    </xdr:to>
    <xdr:pic>
      <xdr:nvPicPr>
        <xdr:cNvPr id="14337" name="Picture 1">
          <a:extLst>
            <a:ext uri="{FF2B5EF4-FFF2-40B4-BE49-F238E27FC236}">
              <a16:creationId xmlns="" xmlns:a16="http://schemas.microsoft.com/office/drawing/2014/main" id="{00000000-0008-0000-1000-0000013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343526" y="24482"/>
          <a:ext cx="1695450" cy="1709068"/>
        </a:xfrm>
        <a:prstGeom prst="rect">
          <a:avLst/>
        </a:prstGeom>
        <a:noFill/>
      </xdr:spPr>
    </xdr:pic>
    <xdr:clientData/>
  </xdr:twoCellAnchor>
  <xdr:twoCellAnchor editAs="oneCell">
    <xdr:from>
      <xdr:col>6</xdr:col>
      <xdr:colOff>38100</xdr:colOff>
      <xdr:row>31</xdr:row>
      <xdr:rowOff>70668</xdr:rowOff>
    </xdr:from>
    <xdr:to>
      <xdr:col>7</xdr:col>
      <xdr:colOff>1476375</xdr:colOff>
      <xdr:row>35</xdr:row>
      <xdr:rowOff>114299</xdr:rowOff>
    </xdr:to>
    <xdr:pic>
      <xdr:nvPicPr>
        <xdr:cNvPr id="14338" name="Picture 2">
          <a:extLst>
            <a:ext uri="{FF2B5EF4-FFF2-40B4-BE49-F238E27FC236}">
              <a16:creationId xmlns="" xmlns:a16="http://schemas.microsoft.com/office/drawing/2014/main" id="{00000000-0008-0000-1000-0000023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343525" y="19044468"/>
          <a:ext cx="1504950" cy="1796231"/>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3" Type="http://schemas.openxmlformats.org/officeDocument/2006/relationships/control" Target="../activeX/activeX1.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 Type="http://schemas.openxmlformats.org/officeDocument/2006/relationships/vmlDrawing" Target="../drawings/vmlDrawing1.vml"/><Relationship Id="rId16" Type="http://schemas.openxmlformats.org/officeDocument/2006/relationships/control" Target="../activeX/activeX14.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ntrol" Target="../activeX/activeX13.xml"/><Relationship Id="rId10" Type="http://schemas.openxmlformats.org/officeDocument/2006/relationships/control" Target="../activeX/activeX8.xml"/><Relationship Id="rId19" Type="http://schemas.openxmlformats.org/officeDocument/2006/relationships/control" Target="../activeX/activeX17.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ntrol" Target="../activeX/activeX19.xml"/><Relationship Id="rId4"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ntrol" Target="../activeX/activeX21.xml"/><Relationship Id="rId4" Type="http://schemas.openxmlformats.org/officeDocument/2006/relationships/control" Target="../activeX/activeX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ntrol" Target="../activeX/activeX23.xml"/><Relationship Id="rId4"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ntrol" Target="../activeX/activeX25.xml"/><Relationship Id="rId4" Type="http://schemas.openxmlformats.org/officeDocument/2006/relationships/control" Target="../activeX/activeX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ntrol" Target="../activeX/activeX27.xml"/><Relationship Id="rId4" Type="http://schemas.openxmlformats.org/officeDocument/2006/relationships/control" Target="../activeX/activeX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ntrol" Target="../activeX/activeX29.xml"/><Relationship Id="rId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ntrol" Target="../activeX/activeX31.xml"/><Relationship Id="rId4" Type="http://schemas.openxmlformats.org/officeDocument/2006/relationships/control" Target="../activeX/activeX3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ntrol" Target="../activeX/activeX33.xml"/><Relationship Id="rId4" Type="http://schemas.openxmlformats.org/officeDocument/2006/relationships/control" Target="../activeX/activeX3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ntrol" Target="../activeX/activeX35.xml"/><Relationship Id="rId4" Type="http://schemas.openxmlformats.org/officeDocument/2006/relationships/control" Target="../activeX/activeX3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ntrol" Target="../activeX/activeX37.xml"/><Relationship Id="rId4" Type="http://schemas.openxmlformats.org/officeDocument/2006/relationships/control" Target="../activeX/activeX3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ntrol" Target="../activeX/activeX39.xml"/><Relationship Id="rId4" Type="http://schemas.openxmlformats.org/officeDocument/2006/relationships/control" Target="../activeX/activeX3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ntrol" Target="../activeX/activeX41.xml"/><Relationship Id="rId4" Type="http://schemas.openxmlformats.org/officeDocument/2006/relationships/control" Target="../activeX/activeX4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ntrol" Target="../activeX/activeX43.xml"/><Relationship Id="rId4" Type="http://schemas.openxmlformats.org/officeDocument/2006/relationships/control" Target="../activeX/activeX4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ntrol" Target="../activeX/activeX45.xml"/><Relationship Id="rId4" Type="http://schemas.openxmlformats.org/officeDocument/2006/relationships/control" Target="../activeX/activeX4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ontrol" Target="../activeX/activeX47.xml"/><Relationship Id="rId4" Type="http://schemas.openxmlformats.org/officeDocument/2006/relationships/control" Target="../activeX/activeX4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sheetPr codeName="Sheet1"/>
  <dimension ref="A1:AB37"/>
  <sheetViews>
    <sheetView tabSelected="1" zoomScale="75" zoomScaleNormal="75" workbookViewId="0">
      <selection activeCell="A2" sqref="A2:J4"/>
    </sheetView>
  </sheetViews>
  <sheetFormatPr defaultRowHeight="15"/>
  <cols>
    <col min="1" max="1" width="6.7109375" customWidth="1"/>
    <col min="6" max="6" width="7.28515625" customWidth="1"/>
    <col min="7" max="7" width="7" customWidth="1"/>
    <col min="8" max="8" width="12.140625" customWidth="1"/>
    <col min="9" max="9" width="5" customWidth="1"/>
    <col min="14" max="14" width="7.85546875" customWidth="1"/>
    <col min="15" max="15" width="6" customWidth="1"/>
    <col min="16" max="16" width="11.85546875" customWidth="1"/>
    <col min="17" max="17" width="5.28515625" customWidth="1"/>
    <col min="22" max="22" width="7.5703125" customWidth="1"/>
    <col min="23" max="23" width="8.28515625" customWidth="1"/>
    <col min="25" max="25" width="6.42578125" customWidth="1"/>
  </cols>
  <sheetData>
    <row r="1" spans="1:28" ht="33.75" customHeight="1" thickBot="1">
      <c r="B1" s="48" t="s">
        <v>123</v>
      </c>
      <c r="C1" s="48"/>
      <c r="D1" s="38"/>
      <c r="E1" s="38"/>
      <c r="F1" s="38"/>
      <c r="G1" s="38"/>
      <c r="H1" s="38"/>
      <c r="I1" s="38"/>
      <c r="J1" s="64"/>
      <c r="K1" s="64"/>
      <c r="L1" s="64"/>
      <c r="M1" s="25"/>
      <c r="N1" s="38"/>
      <c r="O1" s="65" t="s">
        <v>348</v>
      </c>
      <c r="P1" s="65"/>
      <c r="Q1" s="65"/>
      <c r="R1" s="65"/>
      <c r="S1" s="65"/>
      <c r="T1" s="65"/>
      <c r="U1" s="65"/>
      <c r="V1" s="65"/>
      <c r="W1" s="65"/>
      <c r="X1" s="65"/>
      <c r="Y1" s="65"/>
      <c r="Z1" s="65"/>
      <c r="AA1" s="65"/>
      <c r="AB1" s="66"/>
    </row>
    <row r="2" spans="1:28" ht="15" customHeight="1">
      <c r="A2" s="82"/>
      <c r="B2" s="83"/>
      <c r="C2" s="83"/>
      <c r="D2" s="83"/>
      <c r="E2" s="83"/>
      <c r="F2" s="83"/>
      <c r="G2" s="83"/>
      <c r="H2" s="83"/>
      <c r="I2" s="83"/>
      <c r="J2" s="84"/>
      <c r="K2" s="71"/>
      <c r="L2" s="72"/>
      <c r="M2" s="72"/>
      <c r="N2" s="73"/>
      <c r="O2" s="67"/>
      <c r="P2" s="67"/>
      <c r="Q2" s="67"/>
      <c r="R2" s="67"/>
      <c r="S2" s="67"/>
      <c r="T2" s="67"/>
      <c r="U2" s="67"/>
      <c r="V2" s="67"/>
      <c r="W2" s="67"/>
      <c r="X2" s="67"/>
      <c r="Y2" s="67"/>
      <c r="Z2" s="67"/>
      <c r="AA2" s="67"/>
      <c r="AB2" s="68"/>
    </row>
    <row r="3" spans="1:28" ht="15" customHeight="1">
      <c r="A3" s="85"/>
      <c r="B3" s="86"/>
      <c r="C3" s="86"/>
      <c r="D3" s="86"/>
      <c r="E3" s="86"/>
      <c r="F3" s="86"/>
      <c r="G3" s="86"/>
      <c r="H3" s="86"/>
      <c r="I3" s="86"/>
      <c r="J3" s="87"/>
      <c r="K3" s="74"/>
      <c r="L3" s="75"/>
      <c r="M3" s="75"/>
      <c r="N3" s="76"/>
      <c r="O3" s="67"/>
      <c r="P3" s="67"/>
      <c r="Q3" s="67"/>
      <c r="R3" s="67"/>
      <c r="S3" s="67"/>
      <c r="T3" s="67"/>
      <c r="U3" s="67"/>
      <c r="V3" s="67"/>
      <c r="W3" s="67"/>
      <c r="X3" s="67"/>
      <c r="Y3" s="67"/>
      <c r="Z3" s="67"/>
      <c r="AA3" s="67"/>
      <c r="AB3" s="68"/>
    </row>
    <row r="4" spans="1:28" ht="15.75" customHeight="1" thickBot="1">
      <c r="A4" s="88"/>
      <c r="B4" s="89"/>
      <c r="C4" s="89"/>
      <c r="D4" s="89"/>
      <c r="E4" s="89"/>
      <c r="F4" s="89"/>
      <c r="G4" s="89"/>
      <c r="H4" s="89"/>
      <c r="I4" s="89"/>
      <c r="J4" s="90"/>
      <c r="K4" s="77"/>
      <c r="L4" s="78"/>
      <c r="M4" s="78"/>
      <c r="N4" s="79"/>
      <c r="O4" s="69"/>
      <c r="P4" s="69"/>
      <c r="Q4" s="69"/>
      <c r="R4" s="69"/>
      <c r="S4" s="69"/>
      <c r="T4" s="69"/>
      <c r="U4" s="69"/>
      <c r="V4" s="69"/>
      <c r="W4" s="69"/>
      <c r="X4" s="69"/>
      <c r="Y4" s="69"/>
      <c r="Z4" s="69"/>
      <c r="AA4" s="69"/>
      <c r="AB4" s="70"/>
    </row>
    <row r="5" spans="1:28" ht="36.75" customHeight="1">
      <c r="A5" s="27"/>
      <c r="B5" s="28"/>
      <c r="C5" s="28"/>
      <c r="D5" s="28" t="s">
        <v>37</v>
      </c>
      <c r="E5" s="28"/>
      <c r="F5" s="28" t="s">
        <v>37</v>
      </c>
      <c r="G5" s="28"/>
      <c r="H5" s="28"/>
      <c r="I5" s="28"/>
      <c r="J5" s="28"/>
      <c r="K5" s="28"/>
      <c r="L5" s="28"/>
      <c r="M5" s="28"/>
      <c r="N5" s="28"/>
      <c r="O5" s="28"/>
      <c r="P5" s="28"/>
      <c r="Q5" s="28"/>
      <c r="R5" s="28"/>
      <c r="S5" s="28"/>
      <c r="T5" s="28"/>
      <c r="U5" s="28"/>
      <c r="V5" s="28"/>
      <c r="W5" s="28"/>
      <c r="X5" s="28"/>
      <c r="Y5" s="28"/>
      <c r="Z5" s="28"/>
      <c r="AA5" s="28"/>
      <c r="AB5" s="29"/>
    </row>
    <row r="6" spans="1:28" ht="15" customHeight="1">
      <c r="A6" s="27"/>
      <c r="B6" s="80" t="s">
        <v>315</v>
      </c>
      <c r="C6" s="80"/>
      <c r="D6" s="80"/>
      <c r="E6" s="80"/>
      <c r="F6" s="81" t="s">
        <v>39</v>
      </c>
      <c r="G6" s="81"/>
      <c r="H6" s="81" t="s">
        <v>38</v>
      </c>
      <c r="I6" s="34"/>
      <c r="J6" s="80" t="s">
        <v>316</v>
      </c>
      <c r="K6" s="80"/>
      <c r="L6" s="80"/>
      <c r="M6" s="80"/>
      <c r="N6" s="28"/>
      <c r="O6" s="28"/>
      <c r="P6" s="34"/>
      <c r="Q6" s="34"/>
      <c r="R6" s="80" t="s">
        <v>317</v>
      </c>
      <c r="S6" s="80"/>
      <c r="T6" s="80"/>
      <c r="U6" s="80"/>
      <c r="V6" s="28"/>
      <c r="W6" s="28"/>
      <c r="X6" s="34"/>
      <c r="Y6" s="34"/>
      <c r="Z6" s="28"/>
      <c r="AA6" s="28"/>
      <c r="AB6" s="29"/>
    </row>
    <row r="7" spans="1:28" ht="15" customHeight="1">
      <c r="A7" s="27"/>
      <c r="B7" s="80"/>
      <c r="C7" s="80"/>
      <c r="D7" s="80"/>
      <c r="E7" s="80"/>
      <c r="F7" s="81"/>
      <c r="G7" s="81"/>
      <c r="H7" s="81"/>
      <c r="I7" s="34"/>
      <c r="J7" s="80"/>
      <c r="K7" s="80"/>
      <c r="L7" s="80"/>
      <c r="M7" s="80"/>
      <c r="N7" s="28"/>
      <c r="O7" s="28"/>
      <c r="P7" s="34"/>
      <c r="Q7" s="34"/>
      <c r="R7" s="80"/>
      <c r="S7" s="80"/>
      <c r="T7" s="80"/>
      <c r="U7" s="80"/>
      <c r="V7" s="28"/>
      <c r="W7" s="28"/>
      <c r="X7" s="34"/>
      <c r="Y7" s="34"/>
      <c r="Z7" s="28"/>
      <c r="AA7" s="28"/>
      <c r="AB7" s="29"/>
    </row>
    <row r="8" spans="1:28">
      <c r="A8" s="27"/>
      <c r="B8" s="28"/>
      <c r="C8" s="28"/>
      <c r="D8" s="28" t="s">
        <v>37</v>
      </c>
      <c r="E8" s="28"/>
      <c r="F8" s="28" t="s">
        <v>37</v>
      </c>
      <c r="G8" s="28"/>
      <c r="H8" s="28"/>
      <c r="I8" s="28"/>
      <c r="J8" s="28"/>
      <c r="K8" s="28"/>
      <c r="L8" s="28"/>
      <c r="M8" s="28"/>
      <c r="N8" s="28"/>
      <c r="O8" s="28"/>
      <c r="P8" s="28"/>
      <c r="Q8" s="28"/>
      <c r="R8" s="28"/>
      <c r="S8" s="28"/>
      <c r="T8" s="28"/>
      <c r="U8" s="28"/>
      <c r="V8" s="28"/>
      <c r="W8" s="28"/>
      <c r="X8" s="28"/>
      <c r="Y8" s="28"/>
      <c r="Z8" s="28"/>
      <c r="AA8" s="28"/>
      <c r="AB8" s="29"/>
    </row>
    <row r="9" spans="1:28">
      <c r="A9" s="27"/>
      <c r="B9" s="28"/>
      <c r="C9" s="28"/>
      <c r="D9" s="28" t="s">
        <v>37</v>
      </c>
      <c r="E9" s="28"/>
      <c r="F9" s="30"/>
      <c r="G9" s="30"/>
      <c r="H9" s="30"/>
      <c r="I9" s="28"/>
      <c r="J9" s="28"/>
      <c r="K9" s="28"/>
      <c r="L9" s="28"/>
      <c r="M9" s="28"/>
      <c r="N9" s="28"/>
      <c r="O9" s="28"/>
      <c r="P9" s="28"/>
      <c r="Q9" s="28"/>
      <c r="R9" s="28"/>
      <c r="S9" s="28"/>
      <c r="T9" s="28"/>
      <c r="U9" s="28"/>
      <c r="V9" s="28"/>
      <c r="W9" s="28"/>
      <c r="X9" s="28"/>
      <c r="Y9" s="28"/>
      <c r="Z9" s="28"/>
      <c r="AA9" s="28"/>
      <c r="AB9" s="29"/>
    </row>
    <row r="10" spans="1:28">
      <c r="A10" s="27"/>
      <c r="B10" s="28"/>
      <c r="C10" s="28"/>
      <c r="D10" s="28" t="s">
        <v>37</v>
      </c>
      <c r="E10" s="28"/>
      <c r="F10" s="63" t="str">
        <f>'WEEK 1M'!$F$33</f>
        <v/>
      </c>
      <c r="G10" s="63" t="str">
        <f>'WEEK 1M'!$F$33</f>
        <v/>
      </c>
      <c r="H10" s="61">
        <f>TIMEVALUE("00:05:30")-'WEEK 1M'!$A$1</f>
        <v>3.8194444444444443E-3</v>
      </c>
      <c r="I10" s="28"/>
      <c r="J10" s="28"/>
      <c r="K10" s="28"/>
      <c r="L10" s="28"/>
      <c r="M10" s="28"/>
      <c r="N10" s="63" t="str">
        <f>'WEEK 2M'!F33</f>
        <v/>
      </c>
      <c r="O10" s="63" t="str">
        <f>'WEEK 1M'!$F$33</f>
        <v/>
      </c>
      <c r="P10" s="61">
        <f>TIMEVALUE("00:05:30")-'WEEK 2M'!$A$1</f>
        <v>3.8194444444444443E-3</v>
      </c>
      <c r="Q10" s="28"/>
      <c r="R10" s="28"/>
      <c r="S10" s="28"/>
      <c r="T10" s="28"/>
      <c r="U10" s="28"/>
      <c r="V10" s="63" t="str">
        <f>'WEEK 3M'!F33</f>
        <v/>
      </c>
      <c r="W10" s="63" t="str">
        <f>'WEEK 1M'!$F$33</f>
        <v/>
      </c>
      <c r="X10" s="61">
        <f>TIMEVALUE("00:05:30")-'WEEK 3M'!$A$1</f>
        <v>3.8194444444444443E-3</v>
      </c>
      <c r="Y10" s="28"/>
      <c r="Z10" s="28"/>
      <c r="AA10" s="28"/>
      <c r="AB10" s="29"/>
    </row>
    <row r="11" spans="1:28">
      <c r="A11" s="27"/>
      <c r="B11" s="28"/>
      <c r="C11" s="28"/>
      <c r="D11" s="28" t="s">
        <v>37</v>
      </c>
      <c r="E11" s="28"/>
      <c r="F11" s="63"/>
      <c r="G11" s="63"/>
      <c r="H11" s="62"/>
      <c r="I11" s="28"/>
      <c r="J11" s="28"/>
      <c r="K11" s="28"/>
      <c r="L11" s="28"/>
      <c r="M11" s="28"/>
      <c r="N11" s="63"/>
      <c r="O11" s="63"/>
      <c r="P11" s="62"/>
      <c r="Q11" s="28"/>
      <c r="R11" s="28"/>
      <c r="S11" s="28"/>
      <c r="T11" s="28"/>
      <c r="U11" s="28"/>
      <c r="V11" s="63"/>
      <c r="W11" s="63"/>
      <c r="X11" s="62"/>
      <c r="Y11" s="28"/>
      <c r="Z11" s="28"/>
      <c r="AA11" s="28"/>
      <c r="AB11" s="29"/>
    </row>
    <row r="12" spans="1:28">
      <c r="A12" s="27"/>
      <c r="B12" s="28"/>
      <c r="C12" s="28"/>
      <c r="D12" s="28" t="s">
        <v>37</v>
      </c>
      <c r="E12" s="28"/>
      <c r="F12" s="28"/>
      <c r="G12" s="28"/>
      <c r="H12" s="28"/>
      <c r="I12" s="28"/>
      <c r="J12" s="28"/>
      <c r="K12" s="28"/>
      <c r="L12" s="28"/>
      <c r="M12" s="28"/>
      <c r="N12" s="28"/>
      <c r="O12" s="28"/>
      <c r="P12" s="28"/>
      <c r="Q12" s="28"/>
      <c r="R12" s="28"/>
      <c r="S12" s="28"/>
      <c r="T12" s="28"/>
      <c r="U12" s="28"/>
      <c r="V12" s="28"/>
      <c r="W12" s="28"/>
      <c r="X12" s="28"/>
      <c r="Y12" s="28"/>
      <c r="Z12" s="28"/>
      <c r="AA12" s="28"/>
      <c r="AB12" s="29"/>
    </row>
    <row r="13" spans="1:28">
      <c r="A13" s="27"/>
      <c r="B13" s="28"/>
      <c r="C13" s="28"/>
      <c r="D13" s="28" t="s">
        <v>37</v>
      </c>
      <c r="E13" s="28"/>
      <c r="F13" s="28"/>
      <c r="G13" s="28"/>
      <c r="H13" s="28"/>
      <c r="I13" s="28"/>
      <c r="J13" s="28"/>
      <c r="K13" s="28"/>
      <c r="L13" s="28"/>
      <c r="M13" s="28"/>
      <c r="N13" s="28"/>
      <c r="O13" s="28"/>
      <c r="P13" s="28"/>
      <c r="Q13" s="28"/>
      <c r="R13" s="28"/>
      <c r="S13" s="28"/>
      <c r="T13" s="28"/>
      <c r="U13" s="28"/>
      <c r="V13" s="28"/>
      <c r="W13" s="28"/>
      <c r="X13" s="28"/>
      <c r="Y13" s="28"/>
      <c r="Z13" s="28"/>
      <c r="AA13" s="28"/>
      <c r="AB13" s="29"/>
    </row>
    <row r="14" spans="1:28" ht="6" customHeight="1">
      <c r="A14" s="27"/>
      <c r="B14" s="28"/>
      <c r="C14" s="28"/>
      <c r="D14" s="28" t="s">
        <v>37</v>
      </c>
      <c r="E14" s="28"/>
      <c r="F14" s="28"/>
      <c r="G14" s="28"/>
      <c r="H14" s="28"/>
      <c r="I14" s="28"/>
      <c r="J14" s="28"/>
      <c r="K14" s="28"/>
      <c r="L14" s="28"/>
      <c r="M14" s="28"/>
      <c r="N14" s="28"/>
      <c r="O14" s="28"/>
      <c r="P14" s="28"/>
      <c r="Q14" s="28"/>
      <c r="R14" s="28"/>
      <c r="S14" s="28"/>
      <c r="T14" s="28"/>
      <c r="U14" s="28"/>
      <c r="V14" s="28"/>
      <c r="W14" s="28"/>
      <c r="X14" s="28"/>
      <c r="Y14" s="28"/>
      <c r="Z14" s="28"/>
      <c r="AA14" s="28"/>
      <c r="AB14" s="29"/>
    </row>
    <row r="15" spans="1:28" ht="15" customHeight="1">
      <c r="A15" s="27"/>
      <c r="B15" s="28"/>
      <c r="C15" s="28"/>
      <c r="D15" s="28" t="s">
        <v>37</v>
      </c>
      <c r="E15" s="28"/>
      <c r="F15" s="63" t="str">
        <f>'WEEK 1T'!F33</f>
        <v/>
      </c>
      <c r="G15" s="63" t="str">
        <f>'WEEK 1M'!$F$33</f>
        <v/>
      </c>
      <c r="H15" s="61">
        <f>TIMEVALUE("00:05:30")-'WEEK 1T'!$A$1</f>
        <v>3.8194444444444443E-3</v>
      </c>
      <c r="I15" s="28"/>
      <c r="J15" s="28"/>
      <c r="K15" s="28"/>
      <c r="L15" s="28"/>
      <c r="M15" s="28"/>
      <c r="N15" s="63" t="str">
        <f>'WEEK 2T'!F33</f>
        <v/>
      </c>
      <c r="O15" s="63" t="str">
        <f>'WEEK 1M'!$F$33</f>
        <v/>
      </c>
      <c r="P15" s="61">
        <f>TIMEVALUE("00:05:30")-'WEEK 2T'!$A$1</f>
        <v>3.8194444444444443E-3</v>
      </c>
      <c r="Q15" s="28"/>
      <c r="R15" s="28"/>
      <c r="S15" s="28"/>
      <c r="T15" s="28"/>
      <c r="U15" s="28"/>
      <c r="V15" s="63" t="str">
        <f>'WEEK 3T'!F33</f>
        <v/>
      </c>
      <c r="W15" s="63" t="str">
        <f>'WEEK 1M'!$F$33</f>
        <v/>
      </c>
      <c r="X15" s="61">
        <f>TIMEVALUE("00:05:30")-'WEEK 3T'!$A$1</f>
        <v>3.8194444444444443E-3</v>
      </c>
      <c r="Y15" s="28"/>
      <c r="Z15" s="28"/>
      <c r="AA15" s="28"/>
      <c r="AB15" s="29"/>
    </row>
    <row r="16" spans="1:28" ht="15" customHeight="1">
      <c r="A16" s="27"/>
      <c r="B16" s="28"/>
      <c r="C16" s="28"/>
      <c r="D16" s="28" t="s">
        <v>37</v>
      </c>
      <c r="E16" s="28"/>
      <c r="F16" s="63"/>
      <c r="G16" s="63"/>
      <c r="H16" s="62"/>
      <c r="I16" s="28"/>
      <c r="J16" s="28"/>
      <c r="K16" s="28"/>
      <c r="L16" s="28"/>
      <c r="M16" s="28"/>
      <c r="N16" s="63"/>
      <c r="O16" s="63"/>
      <c r="P16" s="62"/>
      <c r="Q16" s="28"/>
      <c r="R16" s="28"/>
      <c r="S16" s="28"/>
      <c r="T16" s="28"/>
      <c r="U16" s="28"/>
      <c r="V16" s="63"/>
      <c r="W16" s="63"/>
      <c r="X16" s="62"/>
      <c r="Y16" s="28"/>
      <c r="Z16" s="28"/>
      <c r="AA16" s="28"/>
      <c r="AB16" s="29"/>
    </row>
    <row r="17" spans="1:28" ht="21" customHeight="1">
      <c r="A17" s="27"/>
      <c r="B17" s="28"/>
      <c r="C17" s="28"/>
      <c r="D17" s="28" t="s">
        <v>37</v>
      </c>
      <c r="E17" s="28"/>
      <c r="F17" s="28"/>
      <c r="G17" s="28"/>
      <c r="H17" s="28"/>
      <c r="I17" s="28"/>
      <c r="J17" s="28"/>
      <c r="K17" s="28"/>
      <c r="L17" s="28"/>
      <c r="M17" s="28"/>
      <c r="N17" s="28"/>
      <c r="O17" s="28"/>
      <c r="P17" s="28"/>
      <c r="Q17" s="28"/>
      <c r="R17" s="28"/>
      <c r="S17" s="28"/>
      <c r="T17" s="28"/>
      <c r="U17" s="28"/>
      <c r="V17" s="28"/>
      <c r="W17" s="28"/>
      <c r="X17" s="28"/>
      <c r="Y17" s="28"/>
      <c r="Z17" s="28"/>
      <c r="AA17" s="28"/>
      <c r="AB17" s="29"/>
    </row>
    <row r="18" spans="1:28" ht="10.5" customHeight="1">
      <c r="A18" s="27"/>
      <c r="B18" s="28"/>
      <c r="C18" s="28"/>
      <c r="D18" s="28" t="s">
        <v>37</v>
      </c>
      <c r="E18" s="28"/>
      <c r="F18" s="28"/>
      <c r="G18" s="28"/>
      <c r="H18" s="28"/>
      <c r="I18" s="28"/>
      <c r="J18" s="28"/>
      <c r="K18" s="28"/>
      <c r="L18" s="28"/>
      <c r="M18" s="28"/>
      <c r="N18" s="28"/>
      <c r="O18" s="28"/>
      <c r="P18" s="28"/>
      <c r="Q18" s="28"/>
      <c r="R18" s="28"/>
      <c r="S18" s="28"/>
      <c r="T18" s="28"/>
      <c r="U18" s="28"/>
      <c r="V18" s="28"/>
      <c r="W18" s="28"/>
      <c r="X18" s="28"/>
      <c r="Y18" s="28"/>
      <c r="Z18" s="28"/>
      <c r="AA18" s="28"/>
      <c r="AB18" s="29"/>
    </row>
    <row r="19" spans="1:28" ht="15" customHeight="1">
      <c r="A19" s="27"/>
      <c r="B19" s="28"/>
      <c r="C19" s="28"/>
      <c r="D19" s="28" t="s">
        <v>37</v>
      </c>
      <c r="E19" s="28"/>
      <c r="F19" s="63" t="str">
        <f>'WEEK 1W'!F33</f>
        <v/>
      </c>
      <c r="G19" s="63"/>
      <c r="H19" s="61">
        <f>TIMEVALUE("00:05:30")-'WEEK 1W'!$A$1</f>
        <v>3.8194444444444443E-3</v>
      </c>
      <c r="I19" s="28"/>
      <c r="J19" s="28"/>
      <c r="K19" s="28"/>
      <c r="L19" s="28"/>
      <c r="M19" s="28"/>
      <c r="N19" s="63" t="str">
        <f>'WEEK 2W'!F33</f>
        <v/>
      </c>
      <c r="O19" s="63" t="str">
        <f>'WEEK 1M'!$F$33</f>
        <v/>
      </c>
      <c r="P19" s="61">
        <f>TIMEVALUE("00:05:30")-'WEEK 2W'!$A$1</f>
        <v>3.8194444444444443E-3</v>
      </c>
      <c r="Q19" s="28"/>
      <c r="R19" s="28"/>
      <c r="S19" s="28"/>
      <c r="T19" s="28"/>
      <c r="U19" s="28"/>
      <c r="V19" s="63" t="str">
        <f>'WEEK 3W'!F33</f>
        <v/>
      </c>
      <c r="W19" s="63" t="str">
        <f>'WEEK 1M'!$F$33</f>
        <v/>
      </c>
      <c r="X19" s="61">
        <f>TIMEVALUE("00:05:30")-'WEEK 3W'!$A$1</f>
        <v>3.8194444444444443E-3</v>
      </c>
      <c r="Y19" s="28"/>
      <c r="Z19" s="28"/>
      <c r="AA19" s="28"/>
      <c r="AB19" s="29"/>
    </row>
    <row r="20" spans="1:28" ht="15" customHeight="1">
      <c r="A20" s="27"/>
      <c r="B20" s="28"/>
      <c r="C20" s="28"/>
      <c r="D20" s="28" t="s">
        <v>37</v>
      </c>
      <c r="E20" s="28"/>
      <c r="F20" s="63"/>
      <c r="G20" s="63"/>
      <c r="H20" s="62"/>
      <c r="I20" s="28"/>
      <c r="J20" s="28"/>
      <c r="K20" s="28"/>
      <c r="L20" s="28"/>
      <c r="M20" s="28"/>
      <c r="N20" s="63"/>
      <c r="O20" s="63"/>
      <c r="P20" s="62"/>
      <c r="Q20" s="28"/>
      <c r="R20" s="28"/>
      <c r="S20" s="28"/>
      <c r="T20" s="28"/>
      <c r="U20" s="28"/>
      <c r="V20" s="63"/>
      <c r="W20" s="63"/>
      <c r="X20" s="62"/>
      <c r="Y20" s="28"/>
      <c r="Z20" s="28"/>
      <c r="AA20" s="28"/>
      <c r="AB20" s="29"/>
    </row>
    <row r="21" spans="1:28">
      <c r="A21" s="27"/>
      <c r="B21" s="28"/>
      <c r="C21" s="28"/>
      <c r="D21" s="28" t="s">
        <v>37</v>
      </c>
      <c r="E21" s="28"/>
      <c r="F21" s="28"/>
      <c r="G21" s="28"/>
      <c r="H21" s="28"/>
      <c r="I21" s="28"/>
      <c r="J21" s="28"/>
      <c r="K21" s="28"/>
      <c r="L21" s="28"/>
      <c r="M21" s="28"/>
      <c r="N21" s="28"/>
      <c r="O21" s="28"/>
      <c r="P21" s="28"/>
      <c r="Q21" s="28"/>
      <c r="R21" s="28"/>
      <c r="S21" s="28"/>
      <c r="T21" s="28"/>
      <c r="U21" s="28"/>
      <c r="V21" s="28"/>
      <c r="W21" s="28"/>
      <c r="X21" s="28"/>
      <c r="Y21" s="28"/>
      <c r="Z21" s="28"/>
      <c r="AA21" s="28"/>
      <c r="AB21" s="29"/>
    </row>
    <row r="22" spans="1:28" ht="16.5" customHeight="1">
      <c r="A22" s="27"/>
      <c r="B22" s="28"/>
      <c r="C22" s="28"/>
      <c r="D22" s="28" t="s">
        <v>37</v>
      </c>
      <c r="E22" s="28"/>
      <c r="F22" s="28"/>
      <c r="G22" s="28"/>
      <c r="H22" s="28"/>
      <c r="I22" s="28"/>
      <c r="J22" s="28"/>
      <c r="K22" s="28"/>
      <c r="L22" s="28"/>
      <c r="M22" s="28"/>
      <c r="N22" s="28"/>
      <c r="O22" s="28"/>
      <c r="P22" s="28"/>
      <c r="Q22" s="28"/>
      <c r="R22" s="28"/>
      <c r="S22" s="28"/>
      <c r="T22" s="28"/>
      <c r="U22" s="28"/>
      <c r="V22" s="28"/>
      <c r="W22" s="28"/>
      <c r="X22" s="28"/>
      <c r="Y22" s="28"/>
      <c r="Z22" s="28"/>
      <c r="AA22" s="28"/>
      <c r="AB22" s="29"/>
    </row>
    <row r="23" spans="1:28" ht="15" customHeight="1">
      <c r="A23" s="27"/>
      <c r="B23" s="28"/>
      <c r="C23" s="28"/>
      <c r="D23" s="28" t="s">
        <v>37</v>
      </c>
      <c r="E23" s="28"/>
      <c r="F23" s="63" t="str">
        <f>'WEEK 1TH'!F33</f>
        <v/>
      </c>
      <c r="G23" s="63" t="str">
        <f>'WEEK 1M'!$F$33</f>
        <v/>
      </c>
      <c r="H23" s="61">
        <f>TIMEVALUE("00:05:30")-'WEEK 1TH'!$A$1</f>
        <v>3.8194444444444443E-3</v>
      </c>
      <c r="I23" s="28"/>
      <c r="J23" s="28"/>
      <c r="K23" s="28"/>
      <c r="L23" s="28"/>
      <c r="M23" s="28"/>
      <c r="N23" s="63" t="str">
        <f>'WEEK 2TH'!F33</f>
        <v/>
      </c>
      <c r="O23" s="63" t="str">
        <f>'WEEK 1M'!$F$33</f>
        <v/>
      </c>
      <c r="P23" s="61">
        <f>TIMEVALUE("00:05:30")-'WEEK 2TH'!$A$1</f>
        <v>3.8194444444444443E-3</v>
      </c>
      <c r="Q23" s="28"/>
      <c r="R23" s="28"/>
      <c r="S23" s="28"/>
      <c r="T23" s="28"/>
      <c r="U23" s="28"/>
      <c r="V23" s="63" t="str">
        <f>'WEEK 3TH'!F33</f>
        <v/>
      </c>
      <c r="W23" s="63" t="str">
        <f>'WEEK 1M'!$F$33</f>
        <v/>
      </c>
      <c r="X23" s="61">
        <f>TIMEVALUE("00:05:30")-'WEEK 3TH'!$A$1</f>
        <v>3.8194444444444443E-3</v>
      </c>
      <c r="Y23" s="28"/>
      <c r="Z23" s="28"/>
      <c r="AA23" s="28"/>
      <c r="AB23" s="29"/>
    </row>
    <row r="24" spans="1:28" ht="15" customHeight="1">
      <c r="A24" s="27"/>
      <c r="B24" s="28"/>
      <c r="C24" s="28"/>
      <c r="D24" s="28" t="s">
        <v>37</v>
      </c>
      <c r="E24" s="28"/>
      <c r="F24" s="63"/>
      <c r="G24" s="63"/>
      <c r="H24" s="62"/>
      <c r="I24" s="28"/>
      <c r="J24" s="28"/>
      <c r="K24" s="28"/>
      <c r="L24" s="28"/>
      <c r="M24" s="28"/>
      <c r="N24" s="63"/>
      <c r="O24" s="63"/>
      <c r="P24" s="62"/>
      <c r="Q24" s="28"/>
      <c r="R24" s="28"/>
      <c r="S24" s="28"/>
      <c r="T24" s="28"/>
      <c r="U24" s="28"/>
      <c r="V24" s="63"/>
      <c r="W24" s="63"/>
      <c r="X24" s="62"/>
      <c r="Y24" s="28"/>
      <c r="Z24" s="28"/>
      <c r="AA24" s="28"/>
      <c r="AB24" s="29"/>
    </row>
    <row r="25" spans="1:28">
      <c r="A25" s="27"/>
      <c r="B25" s="28"/>
      <c r="C25" s="28"/>
      <c r="D25" s="28" t="s">
        <v>37</v>
      </c>
      <c r="E25" s="28"/>
      <c r="F25" s="28"/>
      <c r="G25" s="28"/>
      <c r="H25" s="28"/>
      <c r="I25" s="28"/>
      <c r="J25" s="28"/>
      <c r="K25" s="28"/>
      <c r="L25" s="28"/>
      <c r="M25" s="28"/>
      <c r="N25" s="28"/>
      <c r="O25" s="28"/>
      <c r="P25" s="28"/>
      <c r="Q25" s="28"/>
      <c r="R25" s="28"/>
      <c r="S25" s="28"/>
      <c r="T25" s="28"/>
      <c r="U25" s="28"/>
      <c r="V25" s="28"/>
      <c r="W25" s="28"/>
      <c r="X25" s="28"/>
      <c r="Y25" s="28"/>
      <c r="Z25" s="28"/>
      <c r="AA25" s="28"/>
      <c r="AB25" s="29"/>
    </row>
    <row r="26" spans="1:28" ht="7.5" customHeight="1">
      <c r="A26" s="27"/>
      <c r="B26" s="28"/>
      <c r="C26" s="28"/>
      <c r="D26" s="28" t="s">
        <v>37</v>
      </c>
      <c r="E26" s="28"/>
      <c r="F26" s="28"/>
      <c r="G26" s="28"/>
      <c r="H26" s="28"/>
      <c r="I26" s="28"/>
      <c r="J26" s="28"/>
      <c r="K26" s="28"/>
      <c r="L26" s="28"/>
      <c r="M26" s="28"/>
      <c r="N26" s="28"/>
      <c r="O26" s="28"/>
      <c r="P26" s="28"/>
      <c r="Q26" s="28"/>
      <c r="R26" s="28"/>
      <c r="S26" s="28"/>
      <c r="T26" s="28"/>
      <c r="U26" s="28"/>
      <c r="V26" s="28"/>
      <c r="W26" s="28"/>
      <c r="X26" s="28"/>
      <c r="Y26" s="28"/>
      <c r="Z26" s="28"/>
      <c r="AA26" s="28"/>
      <c r="AB26" s="29"/>
    </row>
    <row r="27" spans="1:28">
      <c r="A27" s="27"/>
      <c r="B27" s="28"/>
      <c r="C27" s="28"/>
      <c r="D27" s="28" t="s">
        <v>37</v>
      </c>
      <c r="E27" s="28"/>
      <c r="F27" s="28"/>
      <c r="G27" s="28"/>
      <c r="H27" s="28"/>
      <c r="I27" s="28"/>
      <c r="J27" s="28"/>
      <c r="K27" s="28"/>
      <c r="L27" s="28"/>
      <c r="M27" s="28"/>
      <c r="N27" s="28"/>
      <c r="O27" s="28"/>
      <c r="P27" s="28"/>
      <c r="Q27" s="28"/>
      <c r="R27" s="28"/>
      <c r="S27" s="28"/>
      <c r="T27" s="28"/>
      <c r="U27" s="28"/>
      <c r="V27" s="28"/>
      <c r="W27" s="28"/>
      <c r="X27" s="28"/>
      <c r="Y27" s="28"/>
      <c r="Z27" s="28"/>
      <c r="AA27" s="28"/>
      <c r="AB27" s="29"/>
    </row>
    <row r="28" spans="1:28" ht="15" customHeight="1">
      <c r="A28" s="27"/>
      <c r="B28" s="28"/>
      <c r="C28" s="28"/>
      <c r="D28" s="28" t="s">
        <v>37</v>
      </c>
      <c r="E28" s="28"/>
      <c r="F28" s="63" t="str">
        <f>'WEEK 1F'!F33</f>
        <v/>
      </c>
      <c r="G28" s="63" t="str">
        <f>'WEEK 1M'!$F$33</f>
        <v/>
      </c>
      <c r="H28" s="61">
        <f>TIMEVALUE("00:05:30")-'WEEK 1F'!$A$1</f>
        <v>3.8194444444444443E-3</v>
      </c>
      <c r="I28" s="28"/>
      <c r="J28" s="28"/>
      <c r="K28" s="28"/>
      <c r="L28" s="28"/>
      <c r="M28" s="28"/>
      <c r="N28" s="63" t="str">
        <f>'WEEK 2F'!F33</f>
        <v/>
      </c>
      <c r="O28" s="63" t="str">
        <f>'WEEK 1M'!$F$33</f>
        <v/>
      </c>
      <c r="P28" s="61">
        <f>TIMEVALUE("00:05:30")-'WEEK 2F'!$A$1</f>
        <v>3.8194444444444443E-3</v>
      </c>
      <c r="Q28" s="28"/>
      <c r="R28" s="28"/>
      <c r="S28" s="28"/>
      <c r="T28" s="28"/>
      <c r="U28" s="28"/>
      <c r="V28" s="63" t="str">
        <f>'WEEK 3F'!F33</f>
        <v/>
      </c>
      <c r="W28" s="63" t="str">
        <f>'WEEK 1M'!$F$33</f>
        <v/>
      </c>
      <c r="X28" s="61">
        <f>TIMEVALUE("00:05:30")-'WEEK 3F'!$A$1</f>
        <v>3.8194444444444443E-3</v>
      </c>
      <c r="Y28" s="28"/>
      <c r="Z28" s="28"/>
      <c r="AA28" s="28"/>
      <c r="AB28" s="29"/>
    </row>
    <row r="29" spans="1:28" ht="15" customHeight="1">
      <c r="A29" s="27"/>
      <c r="B29" s="28"/>
      <c r="C29" s="28"/>
      <c r="D29" s="28" t="s">
        <v>37</v>
      </c>
      <c r="E29" s="28"/>
      <c r="F29" s="63"/>
      <c r="G29" s="63"/>
      <c r="H29" s="62"/>
      <c r="I29" s="28"/>
      <c r="J29" s="28"/>
      <c r="K29" s="28"/>
      <c r="L29" s="28"/>
      <c r="M29" s="28"/>
      <c r="N29" s="63"/>
      <c r="O29" s="63"/>
      <c r="P29" s="62"/>
      <c r="Q29" s="28"/>
      <c r="R29" s="28"/>
      <c r="S29" s="28"/>
      <c r="T29" s="28"/>
      <c r="U29" s="28"/>
      <c r="V29" s="63"/>
      <c r="W29" s="63"/>
      <c r="X29" s="62"/>
      <c r="Y29" s="28"/>
      <c r="Z29" s="28"/>
      <c r="AA29" s="28"/>
      <c r="AB29" s="29"/>
    </row>
    <row r="30" spans="1:28">
      <c r="A30" s="27"/>
      <c r="B30" s="28"/>
      <c r="C30" s="28"/>
      <c r="D30" s="28" t="s">
        <v>37</v>
      </c>
      <c r="E30" s="28"/>
      <c r="F30" s="28" t="s">
        <v>37</v>
      </c>
      <c r="G30" s="28"/>
      <c r="H30" s="28"/>
      <c r="I30" s="28"/>
      <c r="J30" s="28"/>
      <c r="K30" s="28"/>
      <c r="L30" s="28"/>
      <c r="M30" s="28"/>
      <c r="N30" s="28"/>
      <c r="O30" s="28"/>
      <c r="P30" s="28"/>
      <c r="Q30" s="28"/>
      <c r="R30" s="28"/>
      <c r="S30" s="28"/>
      <c r="T30" s="28"/>
      <c r="U30" s="28"/>
      <c r="V30" s="28"/>
      <c r="W30" s="28"/>
      <c r="X30" s="28"/>
      <c r="Y30" s="28"/>
      <c r="Z30" s="28"/>
      <c r="AA30" s="28"/>
      <c r="AB30" s="29"/>
    </row>
    <row r="31" spans="1:28">
      <c r="A31" s="27"/>
      <c r="B31" s="28"/>
      <c r="C31" s="28"/>
      <c r="D31" s="28" t="s">
        <v>37</v>
      </c>
      <c r="E31" s="28"/>
      <c r="F31" s="28" t="s">
        <v>37</v>
      </c>
      <c r="G31" s="28"/>
      <c r="H31" s="28"/>
      <c r="I31" s="28"/>
      <c r="J31" s="28"/>
      <c r="K31" s="28"/>
      <c r="L31" s="28"/>
      <c r="M31" s="28"/>
      <c r="N31" s="28"/>
      <c r="O31" s="28"/>
      <c r="P31" s="28"/>
      <c r="Q31" s="28"/>
      <c r="R31" s="28"/>
      <c r="S31" s="28"/>
      <c r="T31" s="28"/>
      <c r="U31" s="28"/>
      <c r="V31" s="28"/>
      <c r="W31" s="28"/>
      <c r="X31" s="28"/>
      <c r="Y31" s="28"/>
      <c r="Z31" s="28"/>
      <c r="AA31" s="28"/>
      <c r="AB31" s="29"/>
    </row>
    <row r="32" spans="1:28" ht="26.25" customHeight="1">
      <c r="A32" s="27"/>
      <c r="B32" s="28"/>
      <c r="C32" s="28"/>
      <c r="D32" s="28" t="s">
        <v>37</v>
      </c>
      <c r="E32" s="28"/>
      <c r="F32" s="49">
        <f>SUM(F10,F15,F19,F23,F28)</f>
        <v>0</v>
      </c>
      <c r="G32" s="28"/>
      <c r="H32" s="28"/>
      <c r="I32" s="28"/>
      <c r="J32" s="28"/>
      <c r="K32" s="28"/>
      <c r="L32" s="28"/>
      <c r="M32" s="28"/>
      <c r="N32" s="49">
        <f>SUM(N10,N15,N19,N23,N28)</f>
        <v>0</v>
      </c>
      <c r="O32" s="28"/>
      <c r="P32" s="28"/>
      <c r="Q32" s="28"/>
      <c r="R32" s="28"/>
      <c r="S32" s="28"/>
      <c r="T32" s="28"/>
      <c r="U32" s="28"/>
      <c r="V32" s="49">
        <f>SUM(V10,V15,V19,V23,V28)</f>
        <v>0</v>
      </c>
      <c r="W32" s="28"/>
      <c r="X32" s="28"/>
      <c r="Y32" s="28"/>
      <c r="Z32" s="49">
        <f>SUM(F32,N32,V32)</f>
        <v>0</v>
      </c>
      <c r="AA32" s="28"/>
      <c r="AB32" s="29"/>
    </row>
    <row r="33" spans="1:28">
      <c r="A33" s="27"/>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9"/>
    </row>
    <row r="34" spans="1:28">
      <c r="A34" s="27"/>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9"/>
    </row>
    <row r="35" spans="1:28">
      <c r="A35" s="27"/>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9"/>
    </row>
    <row r="36" spans="1:28">
      <c r="A36" s="27"/>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9"/>
    </row>
    <row r="37" spans="1:28" ht="15.75" thickBot="1">
      <c r="A37" s="31"/>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3"/>
    </row>
  </sheetData>
  <mergeCells count="39">
    <mergeCell ref="F23:G24"/>
    <mergeCell ref="H23:H24"/>
    <mergeCell ref="F28:G29"/>
    <mergeCell ref="H28:H29"/>
    <mergeCell ref="A2:J4"/>
    <mergeCell ref="B6:E7"/>
    <mergeCell ref="H10:H11"/>
    <mergeCell ref="J1:L1"/>
    <mergeCell ref="O1:AB4"/>
    <mergeCell ref="K2:N4"/>
    <mergeCell ref="F19:G20"/>
    <mergeCell ref="H19:H20"/>
    <mergeCell ref="F15:G16"/>
    <mergeCell ref="H15:H16"/>
    <mergeCell ref="J6:M7"/>
    <mergeCell ref="R6:U7"/>
    <mergeCell ref="F6:G7"/>
    <mergeCell ref="H6:H7"/>
    <mergeCell ref="N10:O11"/>
    <mergeCell ref="N15:O16"/>
    <mergeCell ref="P10:P11"/>
    <mergeCell ref="P15:P16"/>
    <mergeCell ref="F10:G11"/>
    <mergeCell ref="X10:X11"/>
    <mergeCell ref="X15:X16"/>
    <mergeCell ref="N19:O20"/>
    <mergeCell ref="N23:O24"/>
    <mergeCell ref="N28:O29"/>
    <mergeCell ref="V10:W11"/>
    <mergeCell ref="V15:W16"/>
    <mergeCell ref="V19:W20"/>
    <mergeCell ref="V23:W24"/>
    <mergeCell ref="V28:W29"/>
    <mergeCell ref="P19:P20"/>
    <mergeCell ref="P23:P24"/>
    <mergeCell ref="P28:P29"/>
    <mergeCell ref="X19:X20"/>
    <mergeCell ref="X23:X24"/>
    <mergeCell ref="X28:X29"/>
  </mergeCells>
  <pageMargins left="0.7" right="0.7" top="0.75" bottom="0.75" header="0.3" footer="0.3"/>
  <pageSetup paperSize="9" orientation="portrait" r:id="rId1"/>
  <legacyDrawing r:id="rId2"/>
  <controls>
    <control shapeId="20497" r:id="rId3" name="CommandButton16"/>
    <control shapeId="20496" r:id="rId4" name="Submit"/>
    <control shapeId="20495" r:id="rId5" name="CommandButton15"/>
    <control shapeId="20494" r:id="rId6" name="CommandButton14"/>
    <control shapeId="20493" r:id="rId7" name="CommandButton13"/>
    <control shapeId="20492" r:id="rId8" name="CommandButton12"/>
    <control shapeId="20491" r:id="rId9" name="CommandButton11"/>
    <control shapeId="20490" r:id="rId10" name="CommandButton10"/>
    <control shapeId="20489" r:id="rId11" name="CommandButton9"/>
    <control shapeId="20488" r:id="rId12" name="CommandButton8"/>
    <control shapeId="20487" r:id="rId13" name="CommandButton7"/>
    <control shapeId="20486" r:id="rId14" name="CommandButton6"/>
    <control shapeId="20485" r:id="rId15" name="CommandButton5"/>
    <control shapeId="20484" r:id="rId16" name="CommandButton4"/>
    <control shapeId="20483" r:id="rId17" name="CommandButton3"/>
    <control shapeId="20482" r:id="rId18" name="CommandButton2"/>
    <control shapeId="20481" r:id="rId19" name="CommandButton1"/>
  </controls>
</worksheet>
</file>

<file path=xl/worksheets/sheet2.xml><?xml version="1.0" encoding="utf-8"?>
<worksheet xmlns="http://schemas.openxmlformats.org/spreadsheetml/2006/main" xmlns:r="http://schemas.openxmlformats.org/officeDocument/2006/relationships">
  <sheetPr codeName="Sheet2">
    <tabColor rgb="FFFF0000"/>
  </sheetPr>
  <dimension ref="A1:AI34"/>
  <sheetViews>
    <sheetView workbookViewId="0">
      <pane ySplit="1" topLeftCell="A2" activePane="bottomLeft" state="frozen"/>
      <selection activeCell="H6" sqref="H6:H7"/>
      <selection pane="bottomLeft" activeCell="A33" sqref="A33:D33"/>
    </sheetView>
  </sheetViews>
  <sheetFormatPr defaultRowHeight="15"/>
  <cols>
    <col min="1" max="1" width="9.140625" style="25"/>
    <col min="2" max="2" width="30.28515625" style="25" bestFit="1"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36" width="9.140625" style="25" customWidth="1"/>
    <col min="37" max="16384" width="9.140625" style="25"/>
  </cols>
  <sheetData>
    <row r="1" spans="1:35" ht="45.75">
      <c r="A1" s="94"/>
      <c r="B1" s="95"/>
      <c r="C1" s="95"/>
      <c r="D1" s="95"/>
      <c r="E1" s="95"/>
      <c r="F1" s="95"/>
      <c r="G1" s="95"/>
      <c r="H1" s="95"/>
      <c r="I1" s="95"/>
      <c r="J1" s="95"/>
      <c r="K1" s="46">
        <v>0.81005787037037036</v>
      </c>
      <c r="L1" s="25" t="s">
        <v>314</v>
      </c>
    </row>
    <row r="2" spans="1:35" ht="23.25" customHeight="1" thickBot="1"/>
    <row r="3" spans="1:35" ht="50.25" customHeight="1" thickBot="1">
      <c r="A3" s="5">
        <v>1</v>
      </c>
      <c r="B3" s="6" t="s">
        <v>40</v>
      </c>
      <c r="D3" s="58"/>
      <c r="F3" s="35"/>
      <c r="H3" s="50">
        <v>102</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41</v>
      </c>
      <c r="D4" s="58"/>
      <c r="F4" s="35"/>
      <c r="H4" s="51">
        <v>1002</v>
      </c>
    </row>
    <row r="5" spans="1:35" ht="50.1" customHeight="1" thickBot="1">
      <c r="A5" s="5">
        <v>3</v>
      </c>
      <c r="B5" s="6" t="s">
        <v>124</v>
      </c>
      <c r="D5" s="58"/>
      <c r="F5" s="35"/>
      <c r="H5" s="51">
        <v>1102</v>
      </c>
    </row>
    <row r="6" spans="1:35" ht="50.1" customHeight="1" thickBot="1">
      <c r="A6" s="5">
        <v>4</v>
      </c>
      <c r="B6" s="6" t="s">
        <v>42</v>
      </c>
      <c r="D6" s="58"/>
      <c r="F6" s="35"/>
      <c r="H6" s="51">
        <v>102</v>
      </c>
    </row>
    <row r="7" spans="1:35" ht="50.1" customHeight="1" thickBot="1">
      <c r="A7" s="5">
        <v>5</v>
      </c>
      <c r="B7" s="6" t="s">
        <v>125</v>
      </c>
      <c r="D7" s="58"/>
      <c r="F7" s="35"/>
      <c r="H7" s="51">
        <v>1002</v>
      </c>
    </row>
    <row r="8" spans="1:35" ht="50.1" customHeight="1" thickBot="1">
      <c r="A8" s="5">
        <v>6</v>
      </c>
      <c r="B8" s="6" t="s">
        <v>126</v>
      </c>
      <c r="D8" s="58"/>
      <c r="F8" s="35"/>
      <c r="H8" s="51">
        <v>1102</v>
      </c>
    </row>
    <row r="9" spans="1:35" ht="50.1" customHeight="1" thickBot="1">
      <c r="A9" s="5">
        <v>7</v>
      </c>
      <c r="B9" s="6" t="s">
        <v>43</v>
      </c>
      <c r="D9" s="58"/>
      <c r="F9" s="35"/>
      <c r="H9" s="51">
        <v>102</v>
      </c>
    </row>
    <row r="10" spans="1:35" ht="50.1" customHeight="1" thickBot="1">
      <c r="A10" s="5">
        <v>8</v>
      </c>
      <c r="B10" s="6" t="s">
        <v>127</v>
      </c>
      <c r="D10" s="58"/>
      <c r="F10" s="35"/>
      <c r="H10" s="51">
        <v>1002</v>
      </c>
    </row>
    <row r="11" spans="1:35" ht="50.1" customHeight="1" thickBot="1">
      <c r="A11" s="5">
        <v>9</v>
      </c>
      <c r="B11" s="6" t="s">
        <v>44</v>
      </c>
      <c r="D11" s="58"/>
      <c r="F11" s="35"/>
      <c r="H11" s="51">
        <v>1102</v>
      </c>
    </row>
    <row r="12" spans="1:35" ht="50.1" customHeight="1" thickBot="1">
      <c r="A12" s="5">
        <v>10</v>
      </c>
      <c r="B12" s="6" t="s">
        <v>310</v>
      </c>
      <c r="D12" s="58"/>
      <c r="F12" s="35"/>
      <c r="H12" s="51">
        <v>99</v>
      </c>
    </row>
    <row r="13" spans="1:35" ht="50.1" customHeight="1" thickBot="1">
      <c r="A13" s="5">
        <v>11</v>
      </c>
      <c r="B13" s="6" t="s">
        <v>311</v>
      </c>
      <c r="D13" s="58"/>
      <c r="F13" s="35"/>
      <c r="H13" s="51">
        <v>999</v>
      </c>
    </row>
    <row r="14" spans="1:35" ht="50.1" customHeight="1" thickBot="1">
      <c r="A14" s="5">
        <v>12</v>
      </c>
      <c r="B14" s="6" t="s">
        <v>128</v>
      </c>
      <c r="D14" s="58"/>
      <c r="F14" s="35"/>
      <c r="H14" s="51">
        <v>1099</v>
      </c>
    </row>
    <row r="15" spans="1:35" ht="50.1" customHeight="1" thickBot="1">
      <c r="A15" s="5">
        <v>13</v>
      </c>
      <c r="B15" s="6" t="s">
        <v>129</v>
      </c>
      <c r="D15" s="58"/>
      <c r="F15" s="35"/>
      <c r="H15" s="51">
        <v>200</v>
      </c>
    </row>
    <row r="16" spans="1:35" ht="50.1" customHeight="1" thickBot="1">
      <c r="A16" s="5">
        <v>14</v>
      </c>
      <c r="B16" s="6" t="s">
        <v>45</v>
      </c>
      <c r="D16" s="58"/>
      <c r="F16" s="35"/>
      <c r="H16" s="51">
        <v>290</v>
      </c>
    </row>
    <row r="17" spans="1:8" ht="50.1" customHeight="1" thickBot="1">
      <c r="A17" s="5">
        <v>15</v>
      </c>
      <c r="B17" s="6" t="s">
        <v>46</v>
      </c>
      <c r="D17" s="58"/>
      <c r="F17" s="35"/>
      <c r="H17" s="51">
        <v>1190</v>
      </c>
    </row>
    <row r="18" spans="1:8" ht="50.1" customHeight="1" thickBot="1">
      <c r="A18" s="5">
        <v>16</v>
      </c>
      <c r="B18" s="6" t="s">
        <v>47</v>
      </c>
      <c r="D18" s="58"/>
      <c r="F18" s="35"/>
      <c r="H18" s="51">
        <v>209</v>
      </c>
    </row>
    <row r="19" spans="1:8" ht="50.1" customHeight="1" thickBot="1">
      <c r="A19" s="5">
        <v>17</v>
      </c>
      <c r="B19" s="6" t="s">
        <v>48</v>
      </c>
      <c r="D19" s="58"/>
      <c r="F19" s="35"/>
      <c r="H19" s="51">
        <v>299</v>
      </c>
    </row>
    <row r="20" spans="1:8" ht="50.1" customHeight="1" thickBot="1">
      <c r="A20" s="5">
        <v>18</v>
      </c>
      <c r="B20" s="6" t="s">
        <v>49</v>
      </c>
      <c r="D20" s="58"/>
      <c r="F20" s="35"/>
      <c r="H20" s="51">
        <v>1199</v>
      </c>
    </row>
    <row r="21" spans="1:8" ht="50.1" customHeight="1" thickBot="1">
      <c r="A21" s="5">
        <v>19</v>
      </c>
      <c r="B21" s="6" t="s">
        <v>50</v>
      </c>
      <c r="D21" s="58"/>
      <c r="F21" s="35"/>
      <c r="H21" s="51">
        <v>389</v>
      </c>
    </row>
    <row r="22" spans="1:8" ht="50.1" customHeight="1" thickBot="1">
      <c r="A22" s="5">
        <v>20</v>
      </c>
      <c r="B22" s="6" t="s">
        <v>312</v>
      </c>
      <c r="D22" s="58"/>
      <c r="F22" s="35"/>
      <c r="H22" s="51">
        <v>299</v>
      </c>
    </row>
    <row r="23" spans="1:8" ht="50.1" customHeight="1" thickBot="1">
      <c r="A23" s="5">
        <v>21</v>
      </c>
      <c r="B23" s="6" t="s">
        <v>130</v>
      </c>
      <c r="D23" s="58"/>
      <c r="F23" s="35"/>
      <c r="H23" s="51">
        <v>8221</v>
      </c>
    </row>
    <row r="24" spans="1:8" ht="50.1" customHeight="1" thickBot="1">
      <c r="A24" s="5">
        <v>22</v>
      </c>
      <c r="B24" s="6" t="s">
        <v>131</v>
      </c>
      <c r="D24" s="58"/>
      <c r="F24" s="35"/>
      <c r="H24" s="51">
        <v>8310</v>
      </c>
    </row>
    <row r="25" spans="1:8" ht="50.1" customHeight="1" thickBot="1">
      <c r="A25" s="5">
        <v>23</v>
      </c>
      <c r="B25" s="6" t="s">
        <v>132</v>
      </c>
      <c r="D25" s="58"/>
      <c r="F25" s="35"/>
      <c r="H25" s="51">
        <v>9210</v>
      </c>
    </row>
    <row r="26" spans="1:8" ht="50.1" customHeight="1" thickBot="1">
      <c r="A26" s="5">
        <v>24</v>
      </c>
      <c r="B26" s="6" t="s">
        <v>51</v>
      </c>
      <c r="D26" s="58"/>
      <c r="F26" s="35"/>
      <c r="H26" s="51">
        <v>8200</v>
      </c>
    </row>
    <row r="27" spans="1:8" ht="50.1" customHeight="1" thickBot="1">
      <c r="A27" s="5">
        <v>25</v>
      </c>
      <c r="B27" s="6" t="s">
        <v>313</v>
      </c>
      <c r="D27" s="58"/>
      <c r="F27" s="35"/>
      <c r="H27" s="51">
        <v>8110</v>
      </c>
    </row>
    <row r="28" spans="1:8" ht="50.1" customHeight="1" thickBot="1">
      <c r="A28" s="5">
        <v>26</v>
      </c>
      <c r="B28" s="6" t="s">
        <v>52</v>
      </c>
      <c r="D28" s="58"/>
      <c r="F28" s="35"/>
      <c r="H28" s="51">
        <v>7210</v>
      </c>
    </row>
    <row r="29" spans="1:8" ht="50.1" customHeight="1" thickBot="1">
      <c r="A29" s="5">
        <v>27</v>
      </c>
      <c r="B29" s="6" t="s">
        <v>53</v>
      </c>
      <c r="D29" s="58"/>
      <c r="F29" s="35"/>
      <c r="H29" s="51">
        <v>24</v>
      </c>
    </row>
    <row r="30" spans="1:8" ht="50.1" customHeight="1" thickBot="1">
      <c r="A30" s="5">
        <v>28</v>
      </c>
      <c r="B30" s="6" t="s">
        <v>133</v>
      </c>
      <c r="D30" s="58"/>
      <c r="F30" s="35"/>
      <c r="H30" s="51">
        <v>150</v>
      </c>
    </row>
    <row r="31" spans="1:8" ht="50.1" customHeight="1" thickBot="1">
      <c r="A31" s="5">
        <v>29</v>
      </c>
      <c r="B31" s="6" t="s">
        <v>54</v>
      </c>
      <c r="D31" s="58"/>
      <c r="F31" s="35"/>
      <c r="H31" s="51">
        <v>1410</v>
      </c>
    </row>
    <row r="32" spans="1:8" ht="50.1" customHeight="1" thickBot="1">
      <c r="A32" s="5">
        <v>30</v>
      </c>
      <c r="B32" s="6" t="s">
        <v>55</v>
      </c>
      <c r="D32" s="58"/>
      <c r="F32" s="35"/>
      <c r="H32" s="51">
        <v>1460</v>
      </c>
    </row>
    <row r="33" spans="1:6" ht="54" customHeight="1" thickBot="1">
      <c r="A33" s="91" t="s">
        <v>0</v>
      </c>
      <c r="B33" s="92"/>
      <c r="C33" s="92"/>
      <c r="D33" s="93"/>
      <c r="F33" s="26" t="str">
        <f>IF(F3="","",COUNTIF(F3:F32,"WELL DONE"))</f>
        <v/>
      </c>
    </row>
    <row r="34" spans="1:6" ht="3" customHeight="1"/>
  </sheetData>
  <sheetProtection password="CC6E" sheet="1" objects="1" scenarios="1" selectLockedCells="1"/>
  <mergeCells count="2">
    <mergeCell ref="A33:D33"/>
    <mergeCell ref="A1:J1"/>
  </mergeCells>
  <conditionalFormatting sqref="F3:F32">
    <cfRule type="cellIs" dxfId="77" priority="31" operator="equal">
      <formula>"WELL DONE"</formula>
    </cfRule>
  </conditionalFormatting>
  <conditionalFormatting sqref="F33">
    <cfRule type="cellIs" dxfId="76" priority="29" operator="between">
      <formula>10</formula>
      <formula>20</formula>
    </cfRule>
  </conditionalFormatting>
  <conditionalFormatting sqref="K3:AI3 A1">
    <cfRule type="colorScale" priority="3">
      <colorScale>
        <cfvo type="min" val="0"/>
        <cfvo type="percentile" val="50"/>
        <cfvo type="max" val="0"/>
        <color rgb="FFF8696B"/>
        <color rgb="FFFCFCFF"/>
        <color rgb="FF5A8AC6"/>
      </colorScale>
    </cfRule>
  </conditionalFormatting>
  <conditionalFormatting sqref="F3:F32">
    <cfRule type="cellIs" dxfId="75" priority="2" operator="equal">
      <formula>"WELL DONE"</formula>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1026" r:id="rId4" name="CommandButton1"/>
    <control shapeId="1027" r:id="rId5" name="CommandButton2"/>
  </controls>
</worksheet>
</file>

<file path=xl/worksheets/sheet3.xml><?xml version="1.0" encoding="utf-8"?>
<worksheet xmlns="http://schemas.openxmlformats.org/spreadsheetml/2006/main" xmlns:r="http://schemas.openxmlformats.org/officeDocument/2006/relationships">
  <sheetPr codeName="Sheet26">
    <tabColor rgb="FF0000FF"/>
  </sheetPr>
  <dimension ref="A1:AI34"/>
  <sheetViews>
    <sheetView workbookViewId="0">
      <pane ySplit="1" topLeftCell="A2" activePane="bottomLeft" state="frozen"/>
      <selection activeCell="H6" sqref="H6:H7"/>
      <selection pane="bottomLeft" activeCell="D3" sqref="D3:D32"/>
    </sheetView>
  </sheetViews>
  <sheetFormatPr defaultRowHeight="15"/>
  <cols>
    <col min="2" max="2" width="22.7109375" customWidth="1"/>
    <col min="3" max="3" width="0.5703125" customWidth="1"/>
    <col min="4" max="4" width="12.7109375" customWidth="1"/>
    <col min="5" max="5" width="1" customWidth="1"/>
    <col min="6" max="6" width="24.42578125" customWidth="1"/>
    <col min="7" max="7" width="1" customWidth="1"/>
    <col min="8" max="8" width="22.7109375" style="52" customWidth="1"/>
    <col min="10" max="10" width="32.5703125" customWidth="1"/>
    <col min="11" max="34" width="9.140625" hidden="1" customWidth="1"/>
    <col min="35" max="35" width="12.140625" hidden="1" customWidth="1"/>
    <col min="36" max="36" width="0" hidden="1" customWidth="1"/>
  </cols>
  <sheetData>
    <row r="1" spans="1:35" ht="45.75">
      <c r="A1" s="96"/>
      <c r="B1" s="97"/>
      <c r="C1" s="97"/>
      <c r="D1" s="97"/>
      <c r="E1" s="97"/>
      <c r="F1" s="97"/>
      <c r="G1" s="97"/>
      <c r="H1" s="97"/>
      <c r="I1" s="97"/>
      <c r="J1" s="97"/>
    </row>
    <row r="2" spans="1:35" ht="23.25" customHeight="1" thickBot="1"/>
    <row r="3" spans="1:35" ht="50.25" customHeight="1" thickBot="1">
      <c r="A3" s="5">
        <v>1</v>
      </c>
      <c r="B3" s="6" t="s">
        <v>134</v>
      </c>
      <c r="D3" s="59"/>
      <c r="F3" s="1"/>
      <c r="H3" s="53">
        <v>800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135</v>
      </c>
      <c r="D4" s="59"/>
      <c r="F4" s="1"/>
      <c r="H4" s="54">
        <v>800</v>
      </c>
    </row>
    <row r="5" spans="1:35" ht="50.1" customHeight="1" thickBot="1">
      <c r="A5" s="5">
        <v>3</v>
      </c>
      <c r="B5" s="6" t="s">
        <v>136</v>
      </c>
      <c r="D5" s="59"/>
      <c r="F5" s="1"/>
      <c r="H5" s="54">
        <v>1600</v>
      </c>
    </row>
    <row r="6" spans="1:35" ht="50.1" customHeight="1" thickBot="1">
      <c r="A6" s="5">
        <v>4</v>
      </c>
      <c r="B6" s="6" t="s">
        <v>56</v>
      </c>
      <c r="D6" s="59"/>
      <c r="F6" s="1"/>
      <c r="H6" s="54">
        <v>2000</v>
      </c>
    </row>
    <row r="7" spans="1:35" ht="50.1" customHeight="1" thickBot="1">
      <c r="A7" s="5">
        <v>5</v>
      </c>
      <c r="B7" s="6" t="s">
        <v>137</v>
      </c>
      <c r="D7" s="59"/>
      <c r="F7" s="1"/>
      <c r="H7" s="54">
        <v>2400</v>
      </c>
    </row>
    <row r="8" spans="1:35" ht="50.1" customHeight="1" thickBot="1">
      <c r="A8" s="5">
        <v>6</v>
      </c>
      <c r="B8" s="6" t="s">
        <v>138</v>
      </c>
      <c r="D8" s="59"/>
      <c r="F8" s="1"/>
      <c r="H8" s="54">
        <v>600</v>
      </c>
    </row>
    <row r="9" spans="1:35" ht="50.1" customHeight="1" thickBot="1">
      <c r="A9" s="5">
        <v>7</v>
      </c>
      <c r="B9" s="6" t="s">
        <v>139</v>
      </c>
      <c r="D9" s="59"/>
      <c r="F9" s="1"/>
      <c r="H9" s="54">
        <v>900</v>
      </c>
    </row>
    <row r="10" spans="1:35" ht="50.1" customHeight="1" thickBot="1">
      <c r="A10" s="5">
        <v>8</v>
      </c>
      <c r="B10" s="6" t="s">
        <v>140</v>
      </c>
      <c r="D10" s="59"/>
      <c r="F10" s="1"/>
      <c r="H10" s="54">
        <v>600</v>
      </c>
    </row>
    <row r="11" spans="1:35" ht="50.1" customHeight="1" thickBot="1">
      <c r="A11" s="5">
        <v>9</v>
      </c>
      <c r="B11" s="6" t="s">
        <v>141</v>
      </c>
      <c r="D11" s="59"/>
      <c r="F11" s="1"/>
      <c r="H11" s="54">
        <v>1500</v>
      </c>
    </row>
    <row r="12" spans="1:35" ht="50.1" customHeight="1" thickBot="1">
      <c r="A12" s="5">
        <v>10</v>
      </c>
      <c r="B12" s="6" t="s">
        <v>142</v>
      </c>
      <c r="D12" s="59"/>
      <c r="F12" s="1"/>
      <c r="H12" s="54">
        <v>1200</v>
      </c>
    </row>
    <row r="13" spans="1:35" ht="50.1" customHeight="1" thickBot="1">
      <c r="A13" s="5">
        <v>11</v>
      </c>
      <c r="B13" s="6" t="s">
        <v>139</v>
      </c>
      <c r="D13" s="59"/>
      <c r="F13" s="1"/>
      <c r="H13" s="54">
        <v>900</v>
      </c>
    </row>
    <row r="14" spans="1:35" ht="50.1" customHeight="1" thickBot="1">
      <c r="A14" s="5">
        <v>12</v>
      </c>
      <c r="B14" s="6" t="s">
        <v>138</v>
      </c>
      <c r="D14" s="59"/>
      <c r="F14" s="1"/>
      <c r="H14" s="54">
        <v>600</v>
      </c>
    </row>
    <row r="15" spans="1:35" ht="50.1" customHeight="1" thickBot="1">
      <c r="A15" s="5">
        <v>13</v>
      </c>
      <c r="B15" s="6" t="s">
        <v>143</v>
      </c>
      <c r="D15" s="59"/>
      <c r="F15" s="1"/>
      <c r="H15" s="54">
        <v>700</v>
      </c>
    </row>
    <row r="16" spans="1:35" ht="50.1" customHeight="1" thickBot="1">
      <c r="A16" s="5">
        <v>14</v>
      </c>
      <c r="B16" s="6" t="s">
        <v>144</v>
      </c>
      <c r="D16" s="59"/>
      <c r="F16" s="1"/>
      <c r="H16" s="54">
        <v>800</v>
      </c>
    </row>
    <row r="17" spans="1:8" ht="50.1" customHeight="1" thickBot="1">
      <c r="A17" s="5">
        <v>15</v>
      </c>
      <c r="B17" s="6" t="s">
        <v>145</v>
      </c>
      <c r="D17" s="59"/>
      <c r="F17" s="1"/>
      <c r="H17" s="54">
        <v>900</v>
      </c>
    </row>
    <row r="18" spans="1:8" ht="50.1" customHeight="1" thickBot="1">
      <c r="A18" s="5">
        <v>16</v>
      </c>
      <c r="B18" s="6" t="s">
        <v>146</v>
      </c>
      <c r="D18" s="59"/>
      <c r="F18" s="1"/>
      <c r="H18" s="54">
        <v>700</v>
      </c>
    </row>
    <row r="19" spans="1:8" ht="50.1" customHeight="1" thickBot="1">
      <c r="A19" s="5">
        <v>17</v>
      </c>
      <c r="B19" s="6" t="s">
        <v>147</v>
      </c>
      <c r="D19" s="59"/>
      <c r="F19" s="1"/>
      <c r="H19" s="54">
        <v>1400</v>
      </c>
    </row>
    <row r="20" spans="1:8" ht="50.1" customHeight="1" thickBot="1">
      <c r="A20" s="5">
        <v>18</v>
      </c>
      <c r="B20" s="6" t="s">
        <v>148</v>
      </c>
      <c r="D20" s="59"/>
      <c r="F20" s="1"/>
      <c r="H20" s="54">
        <v>1000</v>
      </c>
    </row>
    <row r="21" spans="1:8" ht="50.1" customHeight="1" thickBot="1">
      <c r="A21" s="5">
        <v>19</v>
      </c>
      <c r="B21" s="6" t="s">
        <v>149</v>
      </c>
      <c r="D21" s="59"/>
      <c r="F21" s="1"/>
      <c r="H21" s="54">
        <v>1200</v>
      </c>
    </row>
    <row r="22" spans="1:8" ht="50.1" customHeight="1" thickBot="1">
      <c r="A22" s="5">
        <v>20</v>
      </c>
      <c r="B22" s="6" t="s">
        <v>150</v>
      </c>
      <c r="D22" s="59"/>
      <c r="F22" s="1"/>
      <c r="H22" s="54">
        <v>1200</v>
      </c>
    </row>
    <row r="23" spans="1:8" ht="50.1" customHeight="1" thickBot="1">
      <c r="A23" s="5">
        <v>21</v>
      </c>
      <c r="B23" s="6" t="s">
        <v>16</v>
      </c>
      <c r="D23" s="59"/>
      <c r="F23" s="1"/>
      <c r="H23" s="54">
        <v>90</v>
      </c>
    </row>
    <row r="24" spans="1:8" ht="50.1" customHeight="1" thickBot="1">
      <c r="A24" s="5">
        <v>22</v>
      </c>
      <c r="B24" s="6" t="s">
        <v>151</v>
      </c>
      <c r="D24" s="59"/>
      <c r="F24" s="1"/>
      <c r="H24" s="54">
        <v>900</v>
      </c>
    </row>
    <row r="25" spans="1:8" ht="50.1" customHeight="1" thickBot="1">
      <c r="A25" s="5">
        <v>23</v>
      </c>
      <c r="B25" s="6" t="s">
        <v>152</v>
      </c>
      <c r="D25" s="59"/>
      <c r="F25" s="1"/>
      <c r="H25" s="54">
        <v>9000</v>
      </c>
    </row>
    <row r="26" spans="1:8" ht="50.1" customHeight="1" thickBot="1">
      <c r="A26" s="5">
        <v>24</v>
      </c>
      <c r="B26" s="6" t="s">
        <v>7</v>
      </c>
      <c r="D26" s="59"/>
      <c r="F26" s="1"/>
      <c r="H26" s="54">
        <v>70</v>
      </c>
    </row>
    <row r="27" spans="1:8" ht="50.1" customHeight="1" thickBot="1">
      <c r="A27" s="5">
        <v>25</v>
      </c>
      <c r="B27" s="6" t="s">
        <v>146</v>
      </c>
      <c r="D27" s="59"/>
      <c r="F27" s="1"/>
      <c r="H27" s="54">
        <v>700</v>
      </c>
    </row>
    <row r="28" spans="1:8" ht="50.1" customHeight="1" thickBot="1">
      <c r="A28" s="5">
        <v>26</v>
      </c>
      <c r="B28" s="6" t="s">
        <v>8</v>
      </c>
      <c r="D28" s="59"/>
      <c r="F28" s="1"/>
      <c r="H28" s="54">
        <v>7000</v>
      </c>
    </row>
    <row r="29" spans="1:8" ht="50.1" customHeight="1" thickBot="1">
      <c r="A29" s="5">
        <v>27</v>
      </c>
      <c r="B29" s="6" t="s">
        <v>4</v>
      </c>
      <c r="D29" s="59"/>
      <c r="F29" s="1"/>
      <c r="H29" s="54">
        <v>50</v>
      </c>
    </row>
    <row r="30" spans="1:8" ht="50.1" customHeight="1" thickBot="1">
      <c r="A30" s="5">
        <v>28</v>
      </c>
      <c r="B30" s="6" t="s">
        <v>153</v>
      </c>
      <c r="D30" s="59"/>
      <c r="F30" s="1"/>
      <c r="H30" s="54">
        <v>500</v>
      </c>
    </row>
    <row r="31" spans="1:8" ht="50.1" customHeight="1" thickBot="1">
      <c r="A31" s="5">
        <v>29</v>
      </c>
      <c r="B31" s="6" t="s">
        <v>58</v>
      </c>
      <c r="D31" s="59"/>
      <c r="F31" s="1"/>
      <c r="H31" s="54">
        <v>5000</v>
      </c>
    </row>
    <row r="32" spans="1:8" ht="50.1" customHeight="1" thickBot="1">
      <c r="A32" s="5">
        <v>30</v>
      </c>
      <c r="B32" s="6" t="s">
        <v>154</v>
      </c>
      <c r="D32" s="59"/>
      <c r="F32" s="1"/>
      <c r="H32" s="54">
        <v>6000</v>
      </c>
    </row>
    <row r="33" spans="1:6" ht="54" customHeight="1" thickBot="1">
      <c r="A33" s="91" t="s">
        <v>0</v>
      </c>
      <c r="B33" s="92"/>
      <c r="C33" s="92"/>
      <c r="D33" s="93"/>
      <c r="F33" s="2" t="str">
        <f>IF(F3="","",COUNTIF(F3:F32,"WELL DONE"))</f>
        <v/>
      </c>
    </row>
    <row r="34" spans="1:6" ht="3" customHeight="1"/>
  </sheetData>
  <sheetProtection password="CC6E" sheet="1" objects="1" scenarios="1" selectLockedCells="1"/>
  <mergeCells count="2">
    <mergeCell ref="A1:J1"/>
    <mergeCell ref="A33:D33"/>
  </mergeCells>
  <conditionalFormatting sqref="F3:F32">
    <cfRule type="cellIs" dxfId="74" priority="6" operator="equal">
      <formula>"WELL DONE"</formula>
    </cfRule>
  </conditionalFormatting>
  <conditionalFormatting sqref="F33">
    <cfRule type="cellIs" dxfId="73" priority="5" operator="between">
      <formula>10</formula>
      <formula>20</formula>
    </cfRule>
  </conditionalFormatting>
  <conditionalFormatting sqref="K3:AI3 A1">
    <cfRule type="colorScale" priority="4">
      <colorScale>
        <cfvo type="min" val="0"/>
        <cfvo type="percentile" val="50"/>
        <cfvo type="max" val="0"/>
        <color rgb="FFF8696B"/>
        <color rgb="FFFCFCFF"/>
        <color rgb="FF5A8AC6"/>
      </colorScale>
    </cfRule>
  </conditionalFormatting>
  <conditionalFormatting sqref="F3:F32">
    <cfRule type="cellIs" dxfId="72" priority="3" operator="equal">
      <formula>"WELL DONE"</formula>
    </cfRule>
  </conditionalFormatting>
  <conditionalFormatting sqref="F3:F32">
    <cfRule type="cellIs" dxfId="71" priority="2" operator="equal">
      <formula>"WELL DONE"</formula>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6625" r:id="rId4" name="CommandButton1"/>
    <control shapeId="26626" r:id="rId5" name="CommandButton2"/>
  </controls>
</worksheet>
</file>

<file path=xl/worksheets/sheet4.xml><?xml version="1.0" encoding="utf-8"?>
<worksheet xmlns="http://schemas.openxmlformats.org/spreadsheetml/2006/main" xmlns:r="http://schemas.openxmlformats.org/officeDocument/2006/relationships">
  <sheetPr codeName="Sheet25">
    <tabColor rgb="FF008000"/>
  </sheetPr>
  <dimension ref="A1:AI34"/>
  <sheetViews>
    <sheetView workbookViewId="0">
      <pane ySplit="1" topLeftCell="A2" activePane="bottomLeft" state="frozen"/>
      <selection activeCell="H6" sqref="H6:H7"/>
      <selection pane="bottomLeft" activeCell="D10" sqref="D10"/>
    </sheetView>
  </sheetViews>
  <sheetFormatPr defaultRowHeight="15"/>
  <cols>
    <col min="1" max="1" width="9.140625" style="25"/>
    <col min="2" max="2" width="22.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4.7109375" style="25" customWidth="1"/>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c r="A2" s="101"/>
      <c r="B2" s="101"/>
      <c r="C2" s="101"/>
      <c r="D2" s="101"/>
      <c r="E2" s="101"/>
      <c r="F2" s="101"/>
      <c r="G2" s="101"/>
      <c r="H2" s="101"/>
    </row>
    <row r="3" spans="1:35" ht="50.25" customHeight="1" thickBot="1">
      <c r="A3" s="5">
        <v>1</v>
      </c>
      <c r="B3" s="6" t="s">
        <v>155</v>
      </c>
      <c r="D3" s="59"/>
      <c r="F3" s="35"/>
      <c r="H3" s="50">
        <v>100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156</v>
      </c>
      <c r="D4" s="59"/>
      <c r="F4" s="35"/>
      <c r="H4" s="51">
        <v>100</v>
      </c>
    </row>
    <row r="5" spans="1:35" ht="50.1" customHeight="1" thickBot="1">
      <c r="A5" s="5">
        <v>3</v>
      </c>
      <c r="B5" s="6" t="s">
        <v>157</v>
      </c>
      <c r="D5" s="59"/>
      <c r="F5" s="35"/>
      <c r="H5" s="51">
        <v>100</v>
      </c>
    </row>
    <row r="6" spans="1:35" ht="50.1" customHeight="1" thickBot="1">
      <c r="A6" s="5">
        <v>4</v>
      </c>
      <c r="B6" s="6" t="s">
        <v>158</v>
      </c>
      <c r="D6" s="59"/>
      <c r="F6" s="35"/>
      <c r="H6" s="51">
        <v>100</v>
      </c>
    </row>
    <row r="7" spans="1:35" ht="50.1" customHeight="1" thickBot="1">
      <c r="A7" s="5">
        <v>5</v>
      </c>
      <c r="B7" s="6" t="s">
        <v>159</v>
      </c>
      <c r="D7" s="59"/>
      <c r="F7" s="35"/>
      <c r="H7" s="51">
        <v>100</v>
      </c>
    </row>
    <row r="8" spans="1:35" ht="50.1" customHeight="1" thickBot="1">
      <c r="A8" s="5">
        <v>6</v>
      </c>
      <c r="B8" s="6" t="s">
        <v>160</v>
      </c>
      <c r="D8" s="59"/>
      <c r="F8" s="35"/>
      <c r="H8" s="51">
        <v>72</v>
      </c>
    </row>
    <row r="9" spans="1:35" ht="50.1" customHeight="1" thickBot="1">
      <c r="A9" s="5">
        <v>7</v>
      </c>
      <c r="B9" s="6" t="s">
        <v>161</v>
      </c>
      <c r="D9" s="59"/>
      <c r="F9" s="35"/>
      <c r="H9" s="51">
        <v>32</v>
      </c>
    </row>
    <row r="10" spans="1:35" ht="50.1" customHeight="1" thickBot="1">
      <c r="A10" s="5">
        <v>8</v>
      </c>
      <c r="B10" s="6" t="s">
        <v>162</v>
      </c>
      <c r="D10" s="59"/>
      <c r="F10" s="35"/>
      <c r="H10" s="51">
        <v>15</v>
      </c>
    </row>
    <row r="11" spans="1:35" ht="50.1" customHeight="1" thickBot="1">
      <c r="A11" s="5">
        <v>9</v>
      </c>
      <c r="B11" s="6" t="s">
        <v>163</v>
      </c>
      <c r="D11" s="59"/>
      <c r="F11" s="35"/>
      <c r="H11" s="51">
        <v>65</v>
      </c>
    </row>
    <row r="12" spans="1:35" ht="50.1" customHeight="1" thickBot="1">
      <c r="A12" s="5">
        <v>10</v>
      </c>
      <c r="B12" s="6" t="s">
        <v>69</v>
      </c>
      <c r="D12" s="59"/>
      <c r="F12" s="35"/>
      <c r="H12" s="51">
        <v>26</v>
      </c>
    </row>
    <row r="13" spans="1:35" ht="50.1" customHeight="1" thickBot="1">
      <c r="A13" s="5">
        <v>11</v>
      </c>
      <c r="B13" s="6" t="s">
        <v>164</v>
      </c>
      <c r="D13" s="59"/>
      <c r="F13" s="35"/>
      <c r="H13" s="51">
        <v>200</v>
      </c>
    </row>
    <row r="14" spans="1:35" ht="50.1" customHeight="1" thickBot="1">
      <c r="A14" s="5">
        <v>12</v>
      </c>
      <c r="B14" s="6" t="s">
        <v>165</v>
      </c>
      <c r="D14" s="59"/>
      <c r="F14" s="35"/>
      <c r="H14" s="51">
        <v>400</v>
      </c>
    </row>
    <row r="15" spans="1:35" ht="50.1" customHeight="1" thickBot="1">
      <c r="A15" s="5">
        <v>13</v>
      </c>
      <c r="B15" s="6" t="s">
        <v>166</v>
      </c>
      <c r="D15" s="59"/>
      <c r="F15" s="35"/>
      <c r="H15" s="51">
        <v>700</v>
      </c>
    </row>
    <row r="16" spans="1:35" ht="50.1" customHeight="1" thickBot="1">
      <c r="A16" s="5">
        <v>14</v>
      </c>
      <c r="B16" s="6" t="s">
        <v>167</v>
      </c>
      <c r="D16" s="59"/>
      <c r="F16" s="35"/>
      <c r="H16" s="51">
        <v>900</v>
      </c>
    </row>
    <row r="17" spans="1:8" ht="50.1" customHeight="1" thickBot="1">
      <c r="A17" s="5">
        <v>15</v>
      </c>
      <c r="B17" s="6" t="s">
        <v>168</v>
      </c>
      <c r="D17" s="59"/>
      <c r="F17" s="35"/>
      <c r="H17" s="51">
        <v>1000</v>
      </c>
    </row>
    <row r="18" spans="1:8" ht="50.1" customHeight="1" thickBot="1">
      <c r="A18" s="5">
        <v>16</v>
      </c>
      <c r="B18" s="6" t="s">
        <v>169</v>
      </c>
      <c r="D18" s="59"/>
      <c r="F18" s="35"/>
      <c r="H18" s="51">
        <v>180</v>
      </c>
    </row>
    <row r="19" spans="1:8" ht="50.1" customHeight="1" thickBot="1">
      <c r="A19" s="5">
        <v>17</v>
      </c>
      <c r="B19" s="6" t="s">
        <v>170</v>
      </c>
      <c r="D19" s="59"/>
      <c r="F19" s="35"/>
      <c r="H19" s="51">
        <v>310</v>
      </c>
    </row>
    <row r="20" spans="1:8" ht="50.1" customHeight="1" thickBot="1">
      <c r="A20" s="5">
        <v>18</v>
      </c>
      <c r="B20" s="6" t="s">
        <v>171</v>
      </c>
      <c r="D20" s="59"/>
      <c r="F20" s="35"/>
      <c r="H20" s="51">
        <v>540</v>
      </c>
    </row>
    <row r="21" spans="1:8" ht="50.1" customHeight="1" thickBot="1">
      <c r="A21" s="5">
        <v>19</v>
      </c>
      <c r="B21" s="6" t="s">
        <v>172</v>
      </c>
      <c r="D21" s="59"/>
      <c r="F21" s="35"/>
      <c r="H21" s="51">
        <v>290</v>
      </c>
    </row>
    <row r="22" spans="1:8" ht="50.1" customHeight="1" thickBot="1">
      <c r="A22" s="5">
        <v>20</v>
      </c>
      <c r="B22" s="6" t="s">
        <v>173</v>
      </c>
      <c r="D22" s="59"/>
      <c r="F22" s="35"/>
      <c r="H22" s="51">
        <v>80</v>
      </c>
    </row>
    <row r="23" spans="1:8" ht="50.1" customHeight="1" thickBot="1">
      <c r="A23" s="5">
        <v>21</v>
      </c>
      <c r="B23" s="6" t="s">
        <v>174</v>
      </c>
      <c r="D23" s="59"/>
      <c r="F23" s="35"/>
      <c r="H23" s="51">
        <v>300</v>
      </c>
    </row>
    <row r="24" spans="1:8" ht="50.1" customHeight="1" thickBot="1">
      <c r="A24" s="5">
        <v>22</v>
      </c>
      <c r="B24" s="6" t="s">
        <v>175</v>
      </c>
      <c r="D24" s="59"/>
      <c r="F24" s="35"/>
      <c r="H24" s="51">
        <v>900</v>
      </c>
    </row>
    <row r="25" spans="1:8" ht="50.1" customHeight="1" thickBot="1">
      <c r="A25" s="5">
        <v>23</v>
      </c>
      <c r="B25" s="6" t="s">
        <v>176</v>
      </c>
      <c r="D25" s="59"/>
      <c r="F25" s="35"/>
      <c r="H25" s="51">
        <v>600</v>
      </c>
    </row>
    <row r="26" spans="1:8" ht="50.1" customHeight="1" thickBot="1">
      <c r="A26" s="5">
        <v>24</v>
      </c>
      <c r="B26" s="6" t="s">
        <v>177</v>
      </c>
      <c r="D26" s="59"/>
      <c r="F26" s="35"/>
      <c r="H26" s="51">
        <v>400</v>
      </c>
    </row>
    <row r="27" spans="1:8" ht="50.1" customHeight="1" thickBot="1">
      <c r="A27" s="5">
        <v>25</v>
      </c>
      <c r="B27" s="6" t="s">
        <v>178</v>
      </c>
      <c r="D27" s="59"/>
      <c r="F27" s="35"/>
      <c r="H27" s="51">
        <v>800</v>
      </c>
    </row>
    <row r="28" spans="1:8" ht="50.1" customHeight="1" thickBot="1">
      <c r="A28" s="5">
        <v>26</v>
      </c>
      <c r="B28" s="6" t="s">
        <v>179</v>
      </c>
      <c r="D28" s="59"/>
      <c r="F28" s="35"/>
      <c r="H28" s="51">
        <v>185</v>
      </c>
    </row>
    <row r="29" spans="1:8" ht="50.1" customHeight="1" thickBot="1">
      <c r="A29" s="5">
        <v>27</v>
      </c>
      <c r="B29" s="6" t="s">
        <v>180</v>
      </c>
      <c r="D29" s="59"/>
      <c r="F29" s="35"/>
      <c r="H29" s="51">
        <v>360</v>
      </c>
    </row>
    <row r="30" spans="1:8" ht="50.1" customHeight="1" thickBot="1">
      <c r="A30" s="5">
        <v>28</v>
      </c>
      <c r="B30" s="6" t="s">
        <v>181</v>
      </c>
      <c r="D30" s="59"/>
      <c r="F30" s="35"/>
      <c r="H30" s="51">
        <v>450</v>
      </c>
    </row>
    <row r="31" spans="1:8" ht="50.1" customHeight="1" thickBot="1">
      <c r="A31" s="5">
        <v>29</v>
      </c>
      <c r="B31" s="6" t="s">
        <v>182</v>
      </c>
      <c r="D31" s="59"/>
      <c r="F31" s="35"/>
      <c r="H31" s="51">
        <v>610</v>
      </c>
    </row>
    <row r="32" spans="1:8" ht="50.1" customHeight="1" thickBot="1">
      <c r="A32" s="5">
        <v>30</v>
      </c>
      <c r="B32" s="6" t="s">
        <v>183</v>
      </c>
      <c r="D32" s="59"/>
      <c r="F32" s="35"/>
      <c r="H32" s="57">
        <v>740</v>
      </c>
    </row>
    <row r="33" spans="1:6" ht="54" customHeight="1" thickBot="1">
      <c r="A33" s="98" t="s">
        <v>0</v>
      </c>
      <c r="B33" s="99"/>
      <c r="C33" s="99"/>
      <c r="D33" s="100"/>
      <c r="F33" s="26" t="str">
        <f>IF(F3="","",COUNTIF(F3:F32,"WELL DONE"))</f>
        <v/>
      </c>
    </row>
    <row r="34" spans="1:6" ht="3" customHeight="1"/>
  </sheetData>
  <sheetProtection password="CC6E" sheet="1" objects="1" scenarios="1" selectLockedCells="1"/>
  <mergeCells count="3">
    <mergeCell ref="A1:J1"/>
    <mergeCell ref="A33:D33"/>
    <mergeCell ref="A2:H2"/>
  </mergeCells>
  <conditionalFormatting sqref="F3:F32">
    <cfRule type="cellIs" dxfId="70" priority="11" operator="equal">
      <formula>"WELL DONE"</formula>
    </cfRule>
  </conditionalFormatting>
  <conditionalFormatting sqref="F33">
    <cfRule type="cellIs" dxfId="69" priority="10" operator="between">
      <formula>10</formula>
      <formula>20</formula>
    </cfRule>
  </conditionalFormatting>
  <conditionalFormatting sqref="K3:AI3 A1">
    <cfRule type="colorScale" priority="9">
      <colorScale>
        <cfvo type="min" val="0"/>
        <cfvo type="percentile" val="50"/>
        <cfvo type="max" val="0"/>
        <color rgb="FFF8696B"/>
        <color rgb="FFFCFCFF"/>
        <color rgb="FF5A8AC6"/>
      </colorScale>
    </cfRule>
  </conditionalFormatting>
  <conditionalFormatting sqref="F3:F11">
    <cfRule type="cellIs" dxfId="68" priority="8" operator="equal">
      <formula>"WELL DONE"</formula>
    </cfRule>
  </conditionalFormatting>
  <conditionalFormatting sqref="F3:F11">
    <cfRule type="cellIs" dxfId="67" priority="7" operator="equal">
      <formula>"WELL DONE"</formula>
    </cfRule>
  </conditionalFormatting>
  <conditionalFormatting sqref="F3:F11">
    <cfRule type="cellIs" dxfId="66" priority="6" operator="equal">
      <formula>"WELL DONE"</formula>
    </cfRule>
  </conditionalFormatting>
  <conditionalFormatting sqref="F12:F32">
    <cfRule type="cellIs" dxfId="65" priority="5" operator="equal">
      <formula>"WELL DONE"</formula>
    </cfRule>
  </conditionalFormatting>
  <conditionalFormatting sqref="F12:F32">
    <cfRule type="cellIs" dxfId="64" priority="4" operator="equal">
      <formula>"WELL DONE"</formula>
    </cfRule>
  </conditionalFormatting>
  <conditionalFormatting sqref="F12:F32">
    <cfRule type="cellIs" dxfId="63" priority="3" operator="equal">
      <formula>"WELL DONE"</formula>
    </cfRule>
  </conditionalFormatting>
  <conditionalFormatting sqref="K3:AI3">
    <cfRule type="colorScale" priority="2">
      <colorScale>
        <cfvo type="num"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5601" r:id="rId4" name="CommandButton1"/>
    <control shapeId="25602" r:id="rId5" name="CommandButton2"/>
  </controls>
</worksheet>
</file>

<file path=xl/worksheets/sheet5.xml><?xml version="1.0" encoding="utf-8"?>
<worksheet xmlns="http://schemas.openxmlformats.org/spreadsheetml/2006/main" xmlns:r="http://schemas.openxmlformats.org/officeDocument/2006/relationships">
  <sheetPr codeName="Sheet4">
    <tabColor rgb="FFFFFF00"/>
  </sheetPr>
  <dimension ref="A1:AI34"/>
  <sheetViews>
    <sheetView workbookViewId="0">
      <pane ySplit="1" topLeftCell="A2" activePane="bottomLeft" state="frozen"/>
      <selection activeCell="H6" sqref="H6:H7"/>
      <selection pane="bottomLeft" activeCell="D3" sqref="D3:D32"/>
    </sheetView>
  </sheetViews>
  <sheetFormatPr defaultRowHeight="15"/>
  <cols>
    <col min="1" max="1" width="9.140625" style="25"/>
    <col min="2" max="2" width="33.570312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3" style="25" customWidth="1"/>
    <col min="10" max="10" width="32.5703125" style="25" customWidth="1"/>
    <col min="11" max="11" width="9.140625" style="25" hidden="1" customWidth="1"/>
    <col min="12" max="12" width="10" style="25" hidden="1" customWidth="1"/>
    <col min="13"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c r="B2" s="39"/>
      <c r="C2" s="39"/>
      <c r="D2" s="39"/>
      <c r="E2" s="39"/>
      <c r="F2" s="39"/>
      <c r="G2" s="39"/>
      <c r="H2" s="55"/>
      <c r="I2" s="39"/>
    </row>
    <row r="3" spans="1:35" ht="50.25" customHeight="1" thickBot="1">
      <c r="A3" s="5">
        <v>1</v>
      </c>
      <c r="B3" s="11" t="s">
        <v>90</v>
      </c>
      <c r="D3" s="59"/>
      <c r="F3" s="35"/>
      <c r="H3" s="56">
        <v>1800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11" t="s">
        <v>91</v>
      </c>
      <c r="D4" s="59"/>
      <c r="F4" s="35"/>
      <c r="H4" s="56">
        <v>1350</v>
      </c>
    </row>
    <row r="5" spans="1:35" ht="50.1" customHeight="1" thickBot="1">
      <c r="A5" s="5">
        <v>3</v>
      </c>
      <c r="B5" s="11" t="s">
        <v>184</v>
      </c>
      <c r="D5" s="59"/>
      <c r="F5" s="35"/>
      <c r="H5" s="56">
        <v>1700</v>
      </c>
    </row>
    <row r="6" spans="1:35" ht="50.1" customHeight="1" thickBot="1">
      <c r="A6" s="5">
        <v>4</v>
      </c>
      <c r="B6" s="11" t="s">
        <v>185</v>
      </c>
      <c r="D6" s="59"/>
      <c r="F6" s="35"/>
      <c r="H6" s="56">
        <v>2690</v>
      </c>
    </row>
    <row r="7" spans="1:35" ht="50.1" customHeight="1" thickBot="1">
      <c r="A7" s="5">
        <v>5</v>
      </c>
      <c r="B7" s="11" t="s">
        <v>186</v>
      </c>
      <c r="D7" s="59"/>
      <c r="F7" s="35"/>
      <c r="H7" s="56">
        <v>1880</v>
      </c>
    </row>
    <row r="8" spans="1:35" ht="50.1" customHeight="1" thickBot="1">
      <c r="A8" s="5">
        <v>6</v>
      </c>
      <c r="B8" s="11" t="s">
        <v>187</v>
      </c>
      <c r="D8" s="59"/>
      <c r="F8" s="35"/>
      <c r="H8" s="56">
        <v>2940</v>
      </c>
    </row>
    <row r="9" spans="1:35" ht="50.1" customHeight="1" thickBot="1">
      <c r="A9" s="5">
        <v>7</v>
      </c>
      <c r="B9" s="11" t="s">
        <v>188</v>
      </c>
      <c r="D9" s="59"/>
      <c r="F9" s="35"/>
      <c r="H9" s="56">
        <v>2820</v>
      </c>
    </row>
    <row r="10" spans="1:35" ht="50.1" customHeight="1" thickBot="1">
      <c r="A10" s="5">
        <v>8</v>
      </c>
      <c r="B10" s="11" t="s">
        <v>189</v>
      </c>
      <c r="D10" s="59"/>
      <c r="F10" s="35"/>
      <c r="H10" s="56">
        <v>9880</v>
      </c>
    </row>
    <row r="11" spans="1:35" ht="50.1" customHeight="1" thickBot="1">
      <c r="A11" s="5">
        <v>9</v>
      </c>
      <c r="B11" s="11" t="s">
        <v>190</v>
      </c>
      <c r="D11" s="59"/>
      <c r="F11" s="35"/>
      <c r="H11" s="56">
        <v>7930</v>
      </c>
    </row>
    <row r="12" spans="1:35" ht="50.1" customHeight="1" thickBot="1">
      <c r="A12" s="5">
        <v>10</v>
      </c>
      <c r="B12" s="11" t="s">
        <v>191</v>
      </c>
      <c r="D12" s="59"/>
      <c r="F12" s="35"/>
      <c r="H12" s="56">
        <v>6500</v>
      </c>
    </row>
    <row r="13" spans="1:35" ht="50.1" customHeight="1" thickBot="1">
      <c r="A13" s="5">
        <v>11</v>
      </c>
      <c r="B13" s="11" t="s">
        <v>192</v>
      </c>
      <c r="D13" s="59"/>
      <c r="F13" s="35"/>
      <c r="H13" s="56">
        <v>5350</v>
      </c>
    </row>
    <row r="14" spans="1:35" ht="50.1" customHeight="1" thickBot="1">
      <c r="A14" s="5">
        <v>12</v>
      </c>
      <c r="B14" s="11" t="s">
        <v>193</v>
      </c>
      <c r="D14" s="59"/>
      <c r="F14" s="35"/>
      <c r="H14" s="56">
        <v>4120</v>
      </c>
    </row>
    <row r="15" spans="1:35" ht="50.1" customHeight="1" thickBot="1">
      <c r="A15" s="5">
        <v>13</v>
      </c>
      <c r="B15" s="11" t="s">
        <v>194</v>
      </c>
      <c r="D15" s="59"/>
      <c r="F15" s="35"/>
      <c r="H15" s="56">
        <v>3590</v>
      </c>
    </row>
    <row r="16" spans="1:35" ht="50.1" customHeight="1" thickBot="1">
      <c r="A16" s="5">
        <v>14</v>
      </c>
      <c r="B16" s="11" t="s">
        <v>195</v>
      </c>
      <c r="D16" s="59"/>
      <c r="F16" s="35"/>
      <c r="H16" s="56">
        <v>8200</v>
      </c>
    </row>
    <row r="17" spans="1:8" ht="50.1" customHeight="1" thickBot="1">
      <c r="A17" s="5">
        <v>15</v>
      </c>
      <c r="B17" s="11" t="s">
        <v>196</v>
      </c>
      <c r="D17" s="59"/>
      <c r="F17" s="35"/>
      <c r="H17" s="56">
        <v>6050</v>
      </c>
    </row>
    <row r="18" spans="1:8" ht="50.1" customHeight="1" thickBot="1">
      <c r="A18" s="5">
        <v>16</v>
      </c>
      <c r="B18" s="11" t="s">
        <v>197</v>
      </c>
      <c r="D18" s="59"/>
      <c r="F18" s="35"/>
      <c r="H18" s="56">
        <v>7490</v>
      </c>
    </row>
    <row r="19" spans="1:8" ht="50.1" customHeight="1" thickBot="1">
      <c r="A19" s="5">
        <v>17</v>
      </c>
      <c r="B19" s="11" t="s">
        <v>198</v>
      </c>
      <c r="D19" s="59"/>
      <c r="F19" s="35"/>
      <c r="H19" s="56">
        <v>3270</v>
      </c>
    </row>
    <row r="20" spans="1:8" ht="50.1" customHeight="1" thickBot="1">
      <c r="A20" s="5">
        <v>18</v>
      </c>
      <c r="B20" s="11" t="s">
        <v>199</v>
      </c>
      <c r="D20" s="59"/>
      <c r="F20" s="35"/>
      <c r="H20" s="56">
        <v>1880</v>
      </c>
    </row>
    <row r="21" spans="1:8" ht="50.1" customHeight="1" thickBot="1">
      <c r="A21" s="5">
        <v>19</v>
      </c>
      <c r="B21" s="11" t="s">
        <v>200</v>
      </c>
      <c r="D21" s="59"/>
      <c r="F21" s="35"/>
      <c r="H21" s="56">
        <v>4290</v>
      </c>
    </row>
    <row r="22" spans="1:8" ht="50.1" customHeight="1" thickBot="1">
      <c r="A22" s="5">
        <v>20</v>
      </c>
      <c r="B22" s="11" t="s">
        <v>201</v>
      </c>
      <c r="D22" s="59"/>
      <c r="F22" s="35"/>
      <c r="H22" s="56">
        <v>1170</v>
      </c>
    </row>
    <row r="23" spans="1:8" ht="50.1" customHeight="1" thickBot="1">
      <c r="A23" s="5">
        <v>21</v>
      </c>
      <c r="B23" s="11" t="s">
        <v>110</v>
      </c>
      <c r="D23" s="59"/>
      <c r="F23" s="35"/>
      <c r="H23" s="56">
        <v>8850</v>
      </c>
    </row>
    <row r="24" spans="1:8" ht="50.1" customHeight="1" thickBot="1">
      <c r="A24" s="5">
        <v>22</v>
      </c>
      <c r="B24" s="11" t="s">
        <v>202</v>
      </c>
      <c r="D24" s="59"/>
      <c r="F24" s="35"/>
      <c r="H24" s="56">
        <v>2300</v>
      </c>
    </row>
    <row r="25" spans="1:8" ht="50.1" customHeight="1" thickBot="1">
      <c r="A25" s="5">
        <v>23</v>
      </c>
      <c r="B25" s="6" t="s">
        <v>203</v>
      </c>
      <c r="D25" s="59"/>
      <c r="F25" s="35"/>
      <c r="H25" s="56">
        <v>1630</v>
      </c>
    </row>
    <row r="26" spans="1:8" ht="50.1" customHeight="1" thickBot="1">
      <c r="A26" s="5">
        <v>24</v>
      </c>
      <c r="B26" s="6" t="s">
        <v>204</v>
      </c>
      <c r="D26" s="59"/>
      <c r="F26" s="35"/>
      <c r="H26" s="56">
        <v>3450</v>
      </c>
    </row>
    <row r="27" spans="1:8" ht="50.1" customHeight="1" thickBot="1">
      <c r="A27" s="5">
        <v>25</v>
      </c>
      <c r="B27" s="6" t="s">
        <v>205</v>
      </c>
      <c r="D27" s="59"/>
      <c r="F27" s="35"/>
      <c r="H27" s="56">
        <v>1750</v>
      </c>
    </row>
    <row r="28" spans="1:8" ht="50.1" customHeight="1" thickBot="1">
      <c r="A28" s="5">
        <v>26</v>
      </c>
      <c r="B28" s="6" t="s">
        <v>206</v>
      </c>
      <c r="D28" s="59"/>
      <c r="F28" s="35"/>
      <c r="H28" s="56">
        <v>1461</v>
      </c>
    </row>
    <row r="29" spans="1:8" ht="50.1" customHeight="1" thickBot="1">
      <c r="A29" s="5">
        <v>27</v>
      </c>
      <c r="B29" s="6" t="s">
        <v>207</v>
      </c>
      <c r="D29" s="59"/>
      <c r="F29" s="35"/>
      <c r="H29" s="56">
        <v>2401</v>
      </c>
    </row>
    <row r="30" spans="1:8" ht="50.1" customHeight="1" thickBot="1">
      <c r="A30" s="5">
        <v>28</v>
      </c>
      <c r="B30" s="6" t="s">
        <v>208</v>
      </c>
      <c r="D30" s="59"/>
      <c r="F30" s="35"/>
      <c r="H30" s="56">
        <v>3135</v>
      </c>
    </row>
    <row r="31" spans="1:8" ht="50.1" customHeight="1" thickBot="1">
      <c r="A31" s="5">
        <v>29</v>
      </c>
      <c r="B31" s="6" t="s">
        <v>209</v>
      </c>
      <c r="D31" s="59"/>
      <c r="F31" s="35"/>
      <c r="H31" s="56">
        <v>1510</v>
      </c>
    </row>
    <row r="32" spans="1:8" ht="50.1" customHeight="1" thickBot="1">
      <c r="A32" s="5">
        <v>30</v>
      </c>
      <c r="B32" s="6" t="s">
        <v>210</v>
      </c>
      <c r="D32" s="59"/>
      <c r="F32" s="35"/>
      <c r="H32" s="56">
        <v>4293</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2">
    <mergeCell ref="A1:J1"/>
    <mergeCell ref="A33:D33"/>
  </mergeCells>
  <conditionalFormatting sqref="F3:F32">
    <cfRule type="cellIs" dxfId="62" priority="13" operator="equal">
      <formula>"WELL DONE"</formula>
    </cfRule>
  </conditionalFormatting>
  <conditionalFormatting sqref="F33">
    <cfRule type="cellIs" dxfId="61" priority="12" operator="between">
      <formula>10</formula>
      <formula>20</formula>
    </cfRule>
  </conditionalFormatting>
  <conditionalFormatting sqref="K3:AI3 A1">
    <cfRule type="colorScale" priority="11">
      <colorScale>
        <cfvo type="num" val="0"/>
        <cfvo type="percentile" val="50"/>
        <cfvo type="max" val="0"/>
        <color rgb="FFF8696B"/>
        <color rgb="FFFCFCFF"/>
        <color rgb="FF5A8AC6"/>
      </colorScale>
    </cfRule>
  </conditionalFormatting>
  <conditionalFormatting sqref="H3:H32">
    <cfRule type="cellIs" dxfId="60" priority="10" operator="equal">
      <formula>"WELL DONE"</formula>
    </cfRule>
  </conditionalFormatting>
  <conditionalFormatting sqref="F3:F11">
    <cfRule type="cellIs" dxfId="59" priority="9" operator="equal">
      <formula>"WELL DONE"</formula>
    </cfRule>
  </conditionalFormatting>
  <conditionalFormatting sqref="F3:F11">
    <cfRule type="cellIs" dxfId="58" priority="8" operator="equal">
      <formula>"WELL DONE"</formula>
    </cfRule>
  </conditionalFormatting>
  <conditionalFormatting sqref="F3:F11">
    <cfRule type="cellIs" dxfId="57" priority="7" operator="equal">
      <formula>"WELL DONE"</formula>
    </cfRule>
  </conditionalFormatting>
  <conditionalFormatting sqref="F3:F11">
    <cfRule type="cellIs" dxfId="56" priority="6" operator="equal">
      <formula>"WELL DONE"</formula>
    </cfRule>
  </conditionalFormatting>
  <conditionalFormatting sqref="F12:F31">
    <cfRule type="cellIs" dxfId="55" priority="5" operator="equal">
      <formula>"WELL DONE"</formula>
    </cfRule>
  </conditionalFormatting>
  <conditionalFormatting sqref="F32">
    <cfRule type="cellIs" dxfId="54" priority="4" operator="between">
      <formula>10</formula>
      <formula>20</formula>
    </cfRule>
  </conditionalFormatting>
  <conditionalFormatting sqref="F12:F32">
    <cfRule type="cellIs" dxfId="53" priority="3" operator="equal">
      <formula>"WELL DONE"</formula>
    </cfRule>
  </conditionalFormatting>
  <conditionalFormatting sqref="F12:F32">
    <cfRule type="cellIs" dxfId="52" priority="2" operator="equal">
      <formula>"WELL DONE"</formula>
    </cfRule>
  </conditionalFormatting>
  <conditionalFormatting sqref="F12:F32">
    <cfRule type="cellIs" dxfId="51" priority="1" operator="equal">
      <formula>"WELL DONE"</formula>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4577" r:id="rId4" name="CommandButton1"/>
    <control shapeId="24578" r:id="rId5" name="CommandButton2"/>
  </controls>
</worksheet>
</file>

<file path=xl/worksheets/sheet6.xml><?xml version="1.0" encoding="utf-8"?>
<worksheet xmlns="http://schemas.openxmlformats.org/spreadsheetml/2006/main" xmlns:r="http://schemas.openxmlformats.org/officeDocument/2006/relationships">
  <sheetPr codeName="Sheet3">
    <tabColor rgb="FF7030A0"/>
  </sheetPr>
  <dimension ref="A1:AI34"/>
  <sheetViews>
    <sheetView workbookViewId="0">
      <pane ySplit="1" topLeftCell="A26" activePane="bottomLeft" state="frozen"/>
      <selection activeCell="H6" sqref="H6:H7"/>
      <selection pane="bottomLeft" activeCell="A33" sqref="A33:D33"/>
    </sheetView>
  </sheetViews>
  <sheetFormatPr defaultRowHeight="15"/>
  <cols>
    <col min="1" max="1" width="9.140625" style="25"/>
    <col min="2" max="2" width="22.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c r="L1" s="25" t="s">
        <v>314</v>
      </c>
    </row>
    <row r="2" spans="1:35" ht="23.25" customHeight="1" thickBot="1">
      <c r="A2" s="101" t="s">
        <v>120</v>
      </c>
      <c r="B2" s="101"/>
      <c r="C2" s="101"/>
      <c r="D2" s="101"/>
      <c r="E2" s="101"/>
      <c r="F2" s="101"/>
      <c r="G2" s="101"/>
      <c r="H2" s="101"/>
    </row>
    <row r="3" spans="1:35" ht="50.25" customHeight="1" thickBot="1">
      <c r="A3" s="5">
        <v>1</v>
      </c>
      <c r="B3" s="11">
        <v>1326</v>
      </c>
      <c r="D3" s="60"/>
      <c r="F3" s="35"/>
      <c r="H3" s="45">
        <v>1330</v>
      </c>
      <c r="K3" s="36">
        <v>4.1666666666666666E-3</v>
      </c>
      <c r="L3" s="36">
        <v>2.6620370370370374E-3</v>
      </c>
      <c r="M3" s="36">
        <v>2.5462962962963E-3</v>
      </c>
      <c r="N3" s="36">
        <v>2.4305555555555599E-3</v>
      </c>
      <c r="O3" s="36">
        <v>2.3148148148148199E-3</v>
      </c>
      <c r="P3" s="36">
        <v>2.1990740740740799E-3</v>
      </c>
      <c r="Q3" s="36">
        <v>2.0833333333333398E-3</v>
      </c>
      <c r="R3" s="36">
        <v>1.9675925925925898E-3</v>
      </c>
      <c r="S3" s="36">
        <v>1.85185185185185E-3</v>
      </c>
      <c r="T3" s="36">
        <v>1.7361111111111199E-3</v>
      </c>
      <c r="U3" s="36">
        <v>1.6203703703703801E-3</v>
      </c>
      <c r="V3" s="36">
        <v>1.5046296296296301E-3</v>
      </c>
      <c r="W3" s="36">
        <v>1.38888888888889E-3</v>
      </c>
      <c r="X3" s="36">
        <v>1.27314814814815E-3</v>
      </c>
      <c r="Y3" s="36">
        <v>1.1574074074074099E-3</v>
      </c>
      <c r="Z3" s="36">
        <v>1.0416666666666699E-3</v>
      </c>
      <c r="AA3" s="36">
        <v>9.2592592592592802E-4</v>
      </c>
      <c r="AB3" s="36">
        <v>8.1018518518518798E-4</v>
      </c>
      <c r="AC3" s="36">
        <v>6.9444444444444805E-4</v>
      </c>
      <c r="AD3" s="36">
        <v>5.7870370370370801E-4</v>
      </c>
      <c r="AE3" s="36">
        <v>4.6296296296296802E-4</v>
      </c>
      <c r="AF3" s="36">
        <v>3.4722222222222798E-4</v>
      </c>
      <c r="AG3" s="36">
        <v>2.31481481481488E-4</v>
      </c>
      <c r="AH3" s="36">
        <v>1.15740740740748E-4</v>
      </c>
      <c r="AI3" s="36">
        <v>7.8062556418956304E-18</v>
      </c>
    </row>
    <row r="4" spans="1:35" ht="50.1" customHeight="1" thickBot="1">
      <c r="A4" s="5">
        <v>2</v>
      </c>
      <c r="B4" s="11">
        <v>2544</v>
      </c>
      <c r="D4" s="60"/>
      <c r="F4" s="35"/>
      <c r="H4" s="37">
        <v>2540</v>
      </c>
    </row>
    <row r="5" spans="1:35" ht="50.1" customHeight="1" thickBot="1">
      <c r="A5" s="5">
        <v>3</v>
      </c>
      <c r="B5" s="11">
        <v>3871</v>
      </c>
      <c r="D5" s="60"/>
      <c r="F5" s="35"/>
      <c r="H5" s="37">
        <v>3870</v>
      </c>
    </row>
    <row r="6" spans="1:35" ht="50.1" customHeight="1" thickBot="1">
      <c r="A6" s="5">
        <v>4</v>
      </c>
      <c r="B6" s="11">
        <v>4653</v>
      </c>
      <c r="D6" s="60"/>
      <c r="F6" s="35"/>
      <c r="H6" s="37">
        <v>4650</v>
      </c>
    </row>
    <row r="7" spans="1:35" ht="50.1" customHeight="1" thickBot="1">
      <c r="A7" s="5">
        <v>5</v>
      </c>
      <c r="B7" s="11">
        <v>5738</v>
      </c>
      <c r="D7" s="60"/>
      <c r="F7" s="35"/>
      <c r="H7" s="37">
        <v>5740</v>
      </c>
    </row>
    <row r="8" spans="1:35" ht="50.1" customHeight="1" thickBot="1">
      <c r="A8" s="5">
        <v>6</v>
      </c>
      <c r="B8" s="11">
        <v>6462</v>
      </c>
      <c r="D8" s="60"/>
      <c r="F8" s="35"/>
      <c r="H8" s="37">
        <v>6460</v>
      </c>
    </row>
    <row r="9" spans="1:35" ht="50.1" customHeight="1" thickBot="1">
      <c r="A9" s="5">
        <v>7</v>
      </c>
      <c r="B9" s="11">
        <v>7125</v>
      </c>
      <c r="D9" s="60"/>
      <c r="F9" s="35"/>
      <c r="H9" s="37">
        <v>7130</v>
      </c>
    </row>
    <row r="10" spans="1:35" ht="50.1" customHeight="1" thickBot="1">
      <c r="A10" s="5">
        <v>8</v>
      </c>
      <c r="B10" s="11">
        <v>8947</v>
      </c>
      <c r="D10" s="60"/>
      <c r="F10" s="35"/>
      <c r="H10" s="37">
        <v>8950</v>
      </c>
    </row>
    <row r="11" spans="1:35" ht="35.25" customHeight="1" thickBot="1">
      <c r="A11" s="102" t="s">
        <v>121</v>
      </c>
      <c r="B11" s="102"/>
      <c r="C11" s="102"/>
      <c r="D11" s="102"/>
      <c r="E11" s="102"/>
      <c r="F11" s="102"/>
      <c r="G11" s="102"/>
      <c r="H11" s="102"/>
    </row>
    <row r="12" spans="1:35" ht="50.1" customHeight="1" thickBot="1">
      <c r="A12" s="5">
        <v>9</v>
      </c>
      <c r="B12" s="6">
        <v>1326</v>
      </c>
      <c r="D12" s="60"/>
      <c r="F12" s="35"/>
      <c r="H12" s="37">
        <v>1300</v>
      </c>
    </row>
    <row r="13" spans="1:35" ht="50.1" customHeight="1" thickBot="1">
      <c r="A13" s="5">
        <v>10</v>
      </c>
      <c r="B13" s="6">
        <v>2544</v>
      </c>
      <c r="D13" s="60"/>
      <c r="F13" s="35"/>
      <c r="H13" s="37">
        <v>2500</v>
      </c>
    </row>
    <row r="14" spans="1:35" ht="50.1" customHeight="1" thickBot="1">
      <c r="A14" s="5">
        <v>11</v>
      </c>
      <c r="B14" s="6">
        <v>3871</v>
      </c>
      <c r="D14" s="60"/>
      <c r="F14" s="35"/>
      <c r="H14" s="37">
        <v>3900</v>
      </c>
    </row>
    <row r="15" spans="1:35" ht="50.1" customHeight="1" thickBot="1">
      <c r="A15" s="5">
        <v>12</v>
      </c>
      <c r="B15" s="6">
        <v>4653</v>
      </c>
      <c r="D15" s="60"/>
      <c r="F15" s="35"/>
      <c r="H15" s="37">
        <v>4700</v>
      </c>
    </row>
    <row r="16" spans="1:35" ht="50.1" customHeight="1" thickBot="1">
      <c r="A16" s="5">
        <v>13</v>
      </c>
      <c r="B16" s="6">
        <v>5738</v>
      </c>
      <c r="D16" s="60"/>
      <c r="F16" s="35"/>
      <c r="H16" s="37">
        <v>5700</v>
      </c>
    </row>
    <row r="17" spans="1:8" ht="50.1" customHeight="1" thickBot="1">
      <c r="A17" s="5">
        <v>14</v>
      </c>
      <c r="B17" s="6">
        <v>6462</v>
      </c>
      <c r="D17" s="60"/>
      <c r="F17" s="35"/>
      <c r="H17" s="37">
        <v>6500</v>
      </c>
    </row>
    <row r="18" spans="1:8" ht="50.1" customHeight="1" thickBot="1">
      <c r="A18" s="5">
        <v>15</v>
      </c>
      <c r="B18" s="6">
        <v>7125</v>
      </c>
      <c r="D18" s="60"/>
      <c r="F18" s="35"/>
      <c r="H18" s="37">
        <v>7100</v>
      </c>
    </row>
    <row r="19" spans="1:8" ht="50.1" customHeight="1" thickBot="1">
      <c r="A19" s="5">
        <v>16</v>
      </c>
      <c r="B19" s="6">
        <v>8947</v>
      </c>
      <c r="D19" s="60"/>
      <c r="F19" s="35"/>
      <c r="H19" s="37">
        <v>8900</v>
      </c>
    </row>
    <row r="20" spans="1:8" ht="30.75" customHeight="1" thickBot="1">
      <c r="A20" s="102" t="s">
        <v>122</v>
      </c>
      <c r="B20" s="102"/>
      <c r="C20" s="102"/>
      <c r="D20" s="102"/>
      <c r="E20" s="102"/>
      <c r="F20" s="102"/>
      <c r="H20" s="37"/>
    </row>
    <row r="21" spans="1:8" ht="50.1" customHeight="1" thickBot="1">
      <c r="A21" s="5">
        <v>17</v>
      </c>
      <c r="B21" s="6">
        <v>1326</v>
      </c>
      <c r="D21" s="60"/>
      <c r="F21" s="35"/>
      <c r="H21" s="37">
        <v>1000</v>
      </c>
    </row>
    <row r="22" spans="1:8" ht="50.1" customHeight="1" thickBot="1">
      <c r="A22" s="5">
        <v>18</v>
      </c>
      <c r="B22" s="6">
        <v>2544</v>
      </c>
      <c r="D22" s="60"/>
      <c r="F22" s="35"/>
      <c r="H22" s="37">
        <v>3000</v>
      </c>
    </row>
    <row r="23" spans="1:8" ht="50.1" customHeight="1" thickBot="1">
      <c r="A23" s="5">
        <v>19</v>
      </c>
      <c r="B23" s="6">
        <v>3871</v>
      </c>
      <c r="D23" s="60"/>
      <c r="F23" s="35"/>
      <c r="H23" s="37">
        <v>4000</v>
      </c>
    </row>
    <row r="24" spans="1:8" ht="50.1" customHeight="1" thickBot="1">
      <c r="A24" s="5">
        <v>20</v>
      </c>
      <c r="B24" s="6">
        <v>4653</v>
      </c>
      <c r="D24" s="60"/>
      <c r="F24" s="35"/>
      <c r="H24" s="37">
        <v>5000</v>
      </c>
    </row>
    <row r="25" spans="1:8" ht="50.1" customHeight="1" thickBot="1">
      <c r="A25" s="5">
        <v>21</v>
      </c>
      <c r="B25" s="6">
        <v>5738</v>
      </c>
      <c r="D25" s="60"/>
      <c r="F25" s="35"/>
      <c r="H25" s="37">
        <v>6000</v>
      </c>
    </row>
    <row r="26" spans="1:8" ht="50.1" customHeight="1" thickBot="1">
      <c r="A26" s="5">
        <v>22</v>
      </c>
      <c r="B26" s="6">
        <v>6462</v>
      </c>
      <c r="D26" s="60"/>
      <c r="F26" s="35"/>
      <c r="H26" s="37">
        <v>6000</v>
      </c>
    </row>
    <row r="27" spans="1:8" ht="50.1" customHeight="1" thickBot="1">
      <c r="A27" s="5">
        <v>23</v>
      </c>
      <c r="B27" s="6">
        <v>7125</v>
      </c>
      <c r="D27" s="60"/>
      <c r="F27" s="35"/>
      <c r="H27" s="37">
        <v>7000</v>
      </c>
    </row>
    <row r="28" spans="1:8" ht="50.1" customHeight="1" thickBot="1">
      <c r="A28" s="5">
        <v>24</v>
      </c>
      <c r="B28" s="6">
        <v>8947</v>
      </c>
      <c r="D28" s="60"/>
      <c r="F28" s="35"/>
      <c r="H28" s="37">
        <v>9000</v>
      </c>
    </row>
    <row r="29" spans="1:8" ht="50.1" customHeight="1" thickBot="1">
      <c r="A29" s="5">
        <v>25</v>
      </c>
      <c r="B29" s="6">
        <v>6662</v>
      </c>
      <c r="D29" s="60"/>
      <c r="F29" s="35"/>
      <c r="H29" s="37">
        <v>7000</v>
      </c>
    </row>
    <row r="30" spans="1:8" ht="50.1" customHeight="1" thickBot="1">
      <c r="A30" s="5">
        <v>26</v>
      </c>
      <c r="B30" s="6">
        <v>4453</v>
      </c>
      <c r="D30" s="60"/>
      <c r="F30" s="35"/>
      <c r="H30" s="37">
        <v>4000</v>
      </c>
    </row>
    <row r="31" spans="1:8" ht="50.1" customHeight="1" thickBot="1">
      <c r="A31" s="5">
        <v>27</v>
      </c>
      <c r="B31" s="6">
        <v>5338</v>
      </c>
      <c r="D31" s="60"/>
      <c r="F31" s="35"/>
      <c r="H31" s="37">
        <v>5000</v>
      </c>
    </row>
    <row r="32" spans="1:8" ht="50.1" customHeight="1" thickBot="1">
      <c r="A32" s="5">
        <v>28</v>
      </c>
      <c r="B32" s="6">
        <v>2222</v>
      </c>
      <c r="D32" s="60"/>
      <c r="F32" s="35"/>
      <c r="H32" s="37">
        <v>2000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5">
    <mergeCell ref="A1:J1"/>
    <mergeCell ref="A33:D33"/>
    <mergeCell ref="A2:H2"/>
    <mergeCell ref="A11:H11"/>
    <mergeCell ref="A20:F20"/>
  </mergeCells>
  <conditionalFormatting sqref="F3:F10 F12:F19 F21:F32">
    <cfRule type="cellIs" dxfId="50" priority="12" operator="equal">
      <formula>"WELL DONE"</formula>
    </cfRule>
  </conditionalFormatting>
  <conditionalFormatting sqref="F32:F33">
    <cfRule type="cellIs" dxfId="49" priority="11" operator="between">
      <formula>10</formula>
      <formula>20</formula>
    </cfRule>
  </conditionalFormatting>
  <conditionalFormatting sqref="K3:AI3 A1">
    <cfRule type="colorScale" priority="10">
      <colorScale>
        <cfvo type="min"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3553" r:id="rId4" name="CommandButton1"/>
    <control shapeId="23554" r:id="rId5" name="CommandButton2"/>
  </controls>
</worksheet>
</file>

<file path=xl/worksheets/sheet7.xml><?xml version="1.0" encoding="utf-8"?>
<worksheet xmlns="http://schemas.openxmlformats.org/spreadsheetml/2006/main" xmlns:r="http://schemas.openxmlformats.org/officeDocument/2006/relationships">
  <sheetPr codeName="Sheet43"/>
  <dimension ref="A1"/>
  <sheetViews>
    <sheetView workbookViewId="0">
      <selection activeCell="H6" sqref="H6:H7"/>
    </sheetView>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27">
    <tabColor rgb="FFFF0000"/>
  </sheetPr>
  <dimension ref="A1:AI34"/>
  <sheetViews>
    <sheetView workbookViewId="0">
      <pane ySplit="1" topLeftCell="A2" activePane="bottomLeft" state="frozen"/>
      <selection activeCell="H6" sqref="H6:H7"/>
      <selection pane="bottomLeft" activeCell="D27" sqref="D27:D32"/>
    </sheetView>
  </sheetViews>
  <sheetFormatPr defaultRowHeight="15"/>
  <cols>
    <col min="1" max="1" width="9.140625" style="25"/>
    <col min="2" max="2" width="29.570312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row r="3" spans="1:35" ht="50.25" customHeight="1" thickBot="1">
      <c r="A3" s="5">
        <v>1</v>
      </c>
      <c r="B3" s="9" t="s">
        <v>4</v>
      </c>
      <c r="D3" s="59"/>
      <c r="F3" s="35"/>
      <c r="H3" s="50">
        <v>50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9" t="s">
        <v>267</v>
      </c>
      <c r="D4" s="59"/>
      <c r="F4" s="35"/>
      <c r="H4" s="51">
        <v>5</v>
      </c>
    </row>
    <row r="5" spans="1:35" ht="50.1" customHeight="1" thickBot="1">
      <c r="A5" s="5">
        <v>3</v>
      </c>
      <c r="B5" s="9" t="s">
        <v>16</v>
      </c>
      <c r="D5" s="59"/>
      <c r="F5" s="35"/>
      <c r="H5" s="51">
        <v>90</v>
      </c>
    </row>
    <row r="6" spans="1:35" ht="50.1" customHeight="1" thickBot="1">
      <c r="A6" s="5">
        <v>4</v>
      </c>
      <c r="B6" s="9" t="s">
        <v>268</v>
      </c>
      <c r="D6" s="59"/>
      <c r="F6" s="35"/>
      <c r="H6" s="51">
        <v>9</v>
      </c>
    </row>
    <row r="7" spans="1:35" ht="50.1" customHeight="1" thickBot="1">
      <c r="A7" s="5">
        <v>5</v>
      </c>
      <c r="B7" s="9" t="s">
        <v>15</v>
      </c>
      <c r="D7" s="59"/>
      <c r="F7" s="35"/>
      <c r="H7" s="51">
        <v>40</v>
      </c>
    </row>
    <row r="8" spans="1:35" ht="50.1" customHeight="1" thickBot="1">
      <c r="A8" s="5">
        <v>6</v>
      </c>
      <c r="B8" s="9" t="s">
        <v>12</v>
      </c>
      <c r="D8" s="59"/>
      <c r="F8" s="35"/>
      <c r="H8" s="51">
        <v>4</v>
      </c>
    </row>
    <row r="9" spans="1:35" ht="50.1" customHeight="1" thickBot="1">
      <c r="A9" s="5">
        <v>7</v>
      </c>
      <c r="B9" s="9" t="s">
        <v>7</v>
      </c>
      <c r="D9" s="59"/>
      <c r="F9" s="35"/>
      <c r="H9" s="51">
        <v>70</v>
      </c>
    </row>
    <row r="10" spans="1:35" ht="50.1" customHeight="1" thickBot="1">
      <c r="A10" s="5">
        <v>8</v>
      </c>
      <c r="B10" s="9" t="s">
        <v>318</v>
      </c>
      <c r="D10" s="59"/>
      <c r="F10" s="35"/>
      <c r="H10" s="51">
        <v>7</v>
      </c>
    </row>
    <row r="11" spans="1:35" ht="50.1" customHeight="1" thickBot="1">
      <c r="A11" s="5">
        <v>9</v>
      </c>
      <c r="B11" s="9" t="s">
        <v>6</v>
      </c>
      <c r="D11" s="59"/>
      <c r="F11" s="35"/>
      <c r="H11" s="51">
        <v>30</v>
      </c>
    </row>
    <row r="12" spans="1:35" ht="50.1" customHeight="1" thickBot="1">
      <c r="A12" s="5">
        <v>10</v>
      </c>
      <c r="B12" s="9" t="s">
        <v>319</v>
      </c>
      <c r="D12" s="59"/>
      <c r="F12" s="35"/>
      <c r="H12" s="51">
        <v>3</v>
      </c>
    </row>
    <row r="13" spans="1:35" ht="50.1" customHeight="1" thickBot="1">
      <c r="A13" s="5">
        <v>11</v>
      </c>
      <c r="B13" s="9" t="s">
        <v>5</v>
      </c>
      <c r="D13" s="59"/>
      <c r="F13" s="35"/>
      <c r="H13" s="51">
        <v>80</v>
      </c>
    </row>
    <row r="14" spans="1:35" ht="50.1" customHeight="1" thickBot="1">
      <c r="A14" s="5">
        <v>12</v>
      </c>
      <c r="B14" s="9" t="s">
        <v>211</v>
      </c>
      <c r="D14" s="59"/>
      <c r="F14" s="35"/>
      <c r="H14" s="51">
        <v>8</v>
      </c>
    </row>
    <row r="15" spans="1:35" ht="50.1" customHeight="1" thickBot="1">
      <c r="A15" s="5">
        <v>13</v>
      </c>
      <c r="B15" s="9" t="s">
        <v>212</v>
      </c>
      <c r="D15" s="59"/>
      <c r="F15" s="35"/>
      <c r="H15" s="51">
        <v>100</v>
      </c>
    </row>
    <row r="16" spans="1:35" ht="50.1" customHeight="1" thickBot="1">
      <c r="A16" s="5">
        <v>14</v>
      </c>
      <c r="B16" s="9" t="s">
        <v>269</v>
      </c>
      <c r="D16" s="59"/>
      <c r="F16" s="35"/>
      <c r="H16" s="51">
        <v>10</v>
      </c>
    </row>
    <row r="17" spans="1:8" ht="50.1" customHeight="1" thickBot="1">
      <c r="A17" s="5">
        <v>15</v>
      </c>
      <c r="B17" s="9" t="s">
        <v>213</v>
      </c>
      <c r="D17" s="59"/>
      <c r="F17" s="35"/>
      <c r="H17" s="51">
        <v>60</v>
      </c>
    </row>
    <row r="18" spans="1:8" ht="50.1" customHeight="1" thickBot="1">
      <c r="A18" s="5">
        <v>16</v>
      </c>
      <c r="B18" s="9" t="s">
        <v>11</v>
      </c>
      <c r="D18" s="59"/>
      <c r="F18" s="35"/>
      <c r="H18" s="51">
        <v>50</v>
      </c>
    </row>
    <row r="19" spans="1:8" ht="50.1" customHeight="1" thickBot="1">
      <c r="A19" s="5">
        <v>17</v>
      </c>
      <c r="B19" s="9" t="s">
        <v>14</v>
      </c>
      <c r="D19" s="59"/>
      <c r="F19" s="35"/>
      <c r="H19" s="51">
        <v>5</v>
      </c>
    </row>
    <row r="20" spans="1:8" ht="50.1" customHeight="1" thickBot="1">
      <c r="A20" s="5">
        <v>18</v>
      </c>
      <c r="B20" s="9" t="s">
        <v>13</v>
      </c>
      <c r="D20" s="59"/>
      <c r="F20" s="35"/>
      <c r="H20" s="51">
        <v>6</v>
      </c>
    </row>
    <row r="21" spans="1:8" ht="50.1" customHeight="1" thickBot="1">
      <c r="A21" s="5">
        <v>19</v>
      </c>
      <c r="B21" s="9" t="s">
        <v>214</v>
      </c>
      <c r="D21" s="59"/>
      <c r="F21" s="35"/>
      <c r="H21" s="51">
        <v>60</v>
      </c>
    </row>
    <row r="22" spans="1:8" ht="50.1" customHeight="1" thickBot="1">
      <c r="A22" s="5">
        <v>20</v>
      </c>
      <c r="B22" s="9" t="s">
        <v>215</v>
      </c>
      <c r="D22" s="59"/>
      <c r="F22" s="35"/>
      <c r="H22" s="51">
        <v>6</v>
      </c>
    </row>
    <row r="23" spans="1:8" ht="50.1" customHeight="1" thickBot="1">
      <c r="A23" s="5">
        <v>21</v>
      </c>
      <c r="B23" s="9" t="s">
        <v>216</v>
      </c>
      <c r="D23" s="59"/>
      <c r="F23" s="35"/>
      <c r="H23" s="51">
        <v>70</v>
      </c>
    </row>
    <row r="24" spans="1:8" ht="50.1" customHeight="1" thickBot="1">
      <c r="A24" s="5">
        <v>22</v>
      </c>
      <c r="B24" s="9" t="s">
        <v>217</v>
      </c>
      <c r="D24" s="59"/>
      <c r="F24" s="35"/>
      <c r="H24" s="51">
        <v>7</v>
      </c>
    </row>
    <row r="25" spans="1:8" ht="50.1" customHeight="1" thickBot="1">
      <c r="A25" s="5">
        <v>23</v>
      </c>
      <c r="B25" s="9" t="s">
        <v>218</v>
      </c>
      <c r="D25" s="59"/>
      <c r="F25" s="35"/>
      <c r="H25" s="51">
        <v>80</v>
      </c>
    </row>
    <row r="26" spans="1:8" ht="50.1" customHeight="1" thickBot="1">
      <c r="A26" s="5">
        <v>24</v>
      </c>
      <c r="B26" s="9" t="s">
        <v>219</v>
      </c>
      <c r="D26" s="59"/>
      <c r="F26" s="35"/>
      <c r="H26" s="51">
        <v>8</v>
      </c>
    </row>
    <row r="27" spans="1:8" ht="50.1" customHeight="1" thickBot="1">
      <c r="A27" s="5">
        <v>25</v>
      </c>
      <c r="B27" s="9" t="s">
        <v>220</v>
      </c>
      <c r="D27" s="59"/>
      <c r="F27" s="35"/>
      <c r="H27" s="51">
        <v>90</v>
      </c>
    </row>
    <row r="28" spans="1:8" ht="50.1" customHeight="1" thickBot="1">
      <c r="A28" s="5">
        <v>26</v>
      </c>
      <c r="B28" s="9" t="s">
        <v>221</v>
      </c>
      <c r="D28" s="59"/>
      <c r="F28" s="35"/>
      <c r="H28" s="51">
        <v>100</v>
      </c>
    </row>
    <row r="29" spans="1:8" ht="50.1" customHeight="1" thickBot="1">
      <c r="A29" s="5">
        <v>27</v>
      </c>
      <c r="B29" s="9" t="s">
        <v>222</v>
      </c>
      <c r="D29" s="59"/>
      <c r="F29" s="35"/>
      <c r="H29" s="51">
        <v>900</v>
      </c>
    </row>
    <row r="30" spans="1:8" ht="50.1" customHeight="1" thickBot="1">
      <c r="A30" s="5">
        <v>28</v>
      </c>
      <c r="B30" s="10" t="s">
        <v>223</v>
      </c>
      <c r="D30" s="59"/>
      <c r="F30" s="35"/>
      <c r="H30" s="51">
        <v>700</v>
      </c>
    </row>
    <row r="31" spans="1:8" ht="50.1" customHeight="1" thickBot="1">
      <c r="A31" s="5">
        <v>29</v>
      </c>
      <c r="B31" s="10" t="s">
        <v>224</v>
      </c>
      <c r="D31" s="59"/>
      <c r="F31" s="35"/>
      <c r="H31" s="51">
        <v>500</v>
      </c>
    </row>
    <row r="32" spans="1:8" ht="50.1" customHeight="1" thickBot="1">
      <c r="A32" s="5">
        <v>30</v>
      </c>
      <c r="B32" s="9" t="s">
        <v>225</v>
      </c>
      <c r="D32" s="59"/>
      <c r="F32" s="35"/>
      <c r="H32" s="51">
        <v>800</v>
      </c>
    </row>
    <row r="33" spans="1:6" ht="54" customHeight="1" thickBot="1">
      <c r="A33" s="91" t="s">
        <v>0</v>
      </c>
      <c r="B33" s="92"/>
      <c r="C33" s="92"/>
      <c r="D33" s="93"/>
      <c r="F33" s="26" t="str">
        <f>IF(F3="","",COUNTIF(F3:F32,"WELL DONE"))</f>
        <v/>
      </c>
    </row>
    <row r="34" spans="1:6" ht="3" customHeight="1"/>
  </sheetData>
  <sheetProtection password="CC6E" sheet="1" objects="1" scenarios="1" selectLockedCells="1"/>
  <mergeCells count="2">
    <mergeCell ref="A1:J1"/>
    <mergeCell ref="A33:D33"/>
  </mergeCells>
  <conditionalFormatting sqref="F3:F32">
    <cfRule type="cellIs" dxfId="48" priority="7" operator="equal">
      <formula>"WELL DONE"</formula>
    </cfRule>
  </conditionalFormatting>
  <conditionalFormatting sqref="F33">
    <cfRule type="cellIs" dxfId="47" priority="6" operator="between">
      <formula>10</formula>
      <formula>20</formula>
    </cfRule>
  </conditionalFormatting>
  <conditionalFormatting sqref="K3:AI3 A1">
    <cfRule type="colorScale" priority="5">
      <colorScale>
        <cfvo type="min" val="0"/>
        <cfvo type="percentile" val="50"/>
        <cfvo type="max" val="0"/>
        <color rgb="FFF8696B"/>
        <color rgb="FFFCFCFF"/>
        <color rgb="FF5A8AC6"/>
      </colorScale>
    </cfRule>
  </conditionalFormatting>
  <conditionalFormatting sqref="F3:F32">
    <cfRule type="cellIs" dxfId="46" priority="4" operator="equal">
      <formula>"WELL DONE"</formula>
    </cfRule>
  </conditionalFormatting>
  <conditionalFormatting sqref="K3:AI3">
    <cfRule type="colorScale" priority="3">
      <colorScale>
        <cfvo type="num" val="0"/>
        <cfvo type="percentile" val="50"/>
        <cfvo type="max" val="0"/>
        <color rgb="FFF8696B"/>
        <color rgb="FFFCFCFF"/>
        <color rgb="FF5A8AC6"/>
      </colorScale>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7649" r:id="rId4" name="CommandButton1"/>
    <control shapeId="27650" r:id="rId5" name="CommandButton2"/>
  </controls>
</worksheet>
</file>

<file path=xl/worksheets/sheet9.xml><?xml version="1.0" encoding="utf-8"?>
<worksheet xmlns="http://schemas.openxmlformats.org/spreadsheetml/2006/main" xmlns:r="http://schemas.openxmlformats.org/officeDocument/2006/relationships">
  <sheetPr codeName="Sheet28">
    <tabColor rgb="FF0000FF"/>
  </sheetPr>
  <dimension ref="A1:AI34"/>
  <sheetViews>
    <sheetView workbookViewId="0">
      <pane ySplit="1" topLeftCell="A2" activePane="bottomLeft" state="frozen"/>
      <selection activeCell="H6" sqref="H6:H7"/>
      <selection pane="bottomLeft" activeCell="D6" sqref="D6"/>
    </sheetView>
  </sheetViews>
  <sheetFormatPr defaultRowHeight="15"/>
  <cols>
    <col min="1" max="1" width="9.140625" style="25"/>
    <col min="2" max="2" width="28.14062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row r="3" spans="1:35" ht="50.25" customHeight="1" thickBot="1">
      <c r="A3" s="5">
        <v>1</v>
      </c>
      <c r="B3" s="6" t="s">
        <v>226</v>
      </c>
      <c r="D3" s="59"/>
      <c r="F3" s="35"/>
      <c r="H3" s="50">
        <v>28</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9</v>
      </c>
      <c r="D4" s="59"/>
      <c r="F4" s="35"/>
      <c r="H4" s="51">
        <v>56</v>
      </c>
    </row>
    <row r="5" spans="1:35" ht="50.1" customHeight="1" thickBot="1">
      <c r="A5" s="5">
        <v>3</v>
      </c>
      <c r="B5" s="6" t="s">
        <v>227</v>
      </c>
      <c r="D5" s="59"/>
      <c r="F5" s="35"/>
      <c r="H5" s="51">
        <v>42</v>
      </c>
    </row>
    <row r="6" spans="1:35" ht="50.1" customHeight="1" thickBot="1">
      <c r="A6" s="5">
        <v>4</v>
      </c>
      <c r="B6" s="6" t="s">
        <v>320</v>
      </c>
      <c r="D6" s="59"/>
      <c r="F6" s="35"/>
      <c r="H6" s="51">
        <v>7</v>
      </c>
    </row>
    <row r="7" spans="1:35" ht="50.1" customHeight="1" thickBot="1">
      <c r="A7" s="5">
        <v>5</v>
      </c>
      <c r="B7" s="6" t="s">
        <v>10</v>
      </c>
      <c r="D7" s="59"/>
      <c r="F7" s="35"/>
      <c r="H7" s="51">
        <v>21</v>
      </c>
    </row>
    <row r="8" spans="1:35" ht="50.1" customHeight="1" thickBot="1">
      <c r="A8" s="5">
        <v>6</v>
      </c>
      <c r="B8" s="6" t="s">
        <v>228</v>
      </c>
      <c r="D8" s="59"/>
      <c r="F8" s="35"/>
      <c r="H8" s="51">
        <v>35</v>
      </c>
    </row>
    <row r="9" spans="1:35" ht="50.1" customHeight="1" thickBot="1">
      <c r="A9" s="5">
        <v>7</v>
      </c>
      <c r="B9" s="6" t="s">
        <v>321</v>
      </c>
      <c r="D9" s="59"/>
      <c r="F9" s="35"/>
      <c r="H9" s="51">
        <v>0</v>
      </c>
    </row>
    <row r="10" spans="1:35" ht="50.1" customHeight="1" thickBot="1">
      <c r="A10" s="5">
        <v>8</v>
      </c>
      <c r="B10" s="6" t="s">
        <v>229</v>
      </c>
      <c r="D10" s="59"/>
      <c r="F10" s="35"/>
      <c r="H10" s="51">
        <v>70</v>
      </c>
    </row>
    <row r="11" spans="1:35" ht="50.1" customHeight="1" thickBot="1">
      <c r="A11" s="5">
        <v>9</v>
      </c>
      <c r="B11" s="6" t="s">
        <v>230</v>
      </c>
      <c r="D11" s="59"/>
      <c r="F11" s="35"/>
      <c r="H11" s="51">
        <v>49</v>
      </c>
    </row>
    <row r="12" spans="1:35" ht="50.1" customHeight="1" thickBot="1">
      <c r="A12" s="5">
        <v>10</v>
      </c>
      <c r="B12" s="6" t="s">
        <v>231</v>
      </c>
      <c r="D12" s="59"/>
      <c r="F12" s="35"/>
      <c r="H12" s="51">
        <v>63</v>
      </c>
    </row>
    <row r="13" spans="1:35" ht="50.1" customHeight="1" thickBot="1">
      <c r="A13" s="5">
        <v>11</v>
      </c>
      <c r="B13" s="6" t="s">
        <v>232</v>
      </c>
      <c r="D13" s="59"/>
      <c r="F13" s="35"/>
      <c r="H13" s="51">
        <v>14</v>
      </c>
    </row>
    <row r="14" spans="1:35" ht="50.1" customHeight="1" thickBot="1">
      <c r="A14" s="5">
        <v>12</v>
      </c>
      <c r="B14" s="6" t="s">
        <v>322</v>
      </c>
      <c r="D14" s="59"/>
      <c r="F14" s="35"/>
      <c r="H14" s="51">
        <v>9</v>
      </c>
    </row>
    <row r="15" spans="1:35" ht="50.1" customHeight="1" thickBot="1">
      <c r="A15" s="5">
        <v>13</v>
      </c>
      <c r="B15" s="6" t="s">
        <v>323</v>
      </c>
      <c r="D15" s="59"/>
      <c r="F15" s="35"/>
      <c r="H15" s="51">
        <v>5</v>
      </c>
    </row>
    <row r="16" spans="1:35" ht="50.1" customHeight="1" thickBot="1">
      <c r="A16" s="5">
        <v>14</v>
      </c>
      <c r="B16" s="6" t="s">
        <v>324</v>
      </c>
      <c r="D16" s="59"/>
      <c r="F16" s="35"/>
      <c r="H16" s="51">
        <v>2</v>
      </c>
    </row>
    <row r="17" spans="1:8" ht="50.1" customHeight="1" thickBot="1">
      <c r="A17" s="5">
        <v>15</v>
      </c>
      <c r="B17" s="6" t="s">
        <v>325</v>
      </c>
      <c r="D17" s="59"/>
      <c r="F17" s="35"/>
      <c r="H17" s="51">
        <v>7</v>
      </c>
    </row>
    <row r="18" spans="1:8" ht="50.1" customHeight="1" thickBot="1">
      <c r="A18" s="5">
        <v>16</v>
      </c>
      <c r="B18" s="6" t="s">
        <v>233</v>
      </c>
      <c r="D18" s="59"/>
      <c r="F18" s="35"/>
      <c r="H18" s="51">
        <v>4</v>
      </c>
    </row>
    <row r="19" spans="1:8" ht="50.1" customHeight="1" thickBot="1">
      <c r="A19" s="5">
        <v>17</v>
      </c>
      <c r="B19" s="6" t="s">
        <v>271</v>
      </c>
      <c r="D19" s="59"/>
      <c r="F19" s="35"/>
      <c r="H19" s="51">
        <v>3</v>
      </c>
    </row>
    <row r="20" spans="1:8" ht="50.1" customHeight="1" thickBot="1">
      <c r="A20" s="5">
        <v>18</v>
      </c>
      <c r="B20" s="6" t="s">
        <v>234</v>
      </c>
      <c r="D20" s="59"/>
      <c r="F20" s="35"/>
      <c r="H20" s="51">
        <v>6</v>
      </c>
    </row>
    <row r="21" spans="1:8" ht="50.1" customHeight="1" thickBot="1">
      <c r="A21" s="5">
        <v>19</v>
      </c>
      <c r="B21" s="6" t="s">
        <v>235</v>
      </c>
      <c r="D21" s="59"/>
      <c r="F21" s="35"/>
      <c r="H21" s="51">
        <v>8</v>
      </c>
    </row>
    <row r="22" spans="1:8" ht="50.1" customHeight="1" thickBot="1">
      <c r="A22" s="5">
        <v>20</v>
      </c>
      <c r="B22" s="6" t="s">
        <v>236</v>
      </c>
      <c r="D22" s="59"/>
      <c r="F22" s="35"/>
      <c r="H22" s="51">
        <v>1</v>
      </c>
    </row>
    <row r="23" spans="1:8" ht="50.1" customHeight="1" thickBot="1">
      <c r="A23" s="5">
        <v>21</v>
      </c>
      <c r="B23" s="11" t="s">
        <v>237</v>
      </c>
      <c r="D23" s="59"/>
      <c r="F23" s="35"/>
      <c r="H23" s="51">
        <v>28</v>
      </c>
    </row>
    <row r="24" spans="1:8" ht="50.1" customHeight="1" thickBot="1">
      <c r="A24" s="5">
        <v>22</v>
      </c>
      <c r="B24" s="6" t="s">
        <v>238</v>
      </c>
      <c r="D24" s="59"/>
      <c r="F24" s="35"/>
      <c r="H24" s="51">
        <v>56</v>
      </c>
    </row>
    <row r="25" spans="1:8" ht="50.1" customHeight="1" thickBot="1">
      <c r="A25" s="5">
        <v>23</v>
      </c>
      <c r="B25" s="6" t="s">
        <v>326</v>
      </c>
      <c r="D25" s="59"/>
      <c r="F25" s="35"/>
      <c r="H25" s="51">
        <v>21</v>
      </c>
    </row>
    <row r="26" spans="1:8" ht="50.1" customHeight="1" thickBot="1">
      <c r="A26" s="5">
        <v>24</v>
      </c>
      <c r="B26" s="6" t="s">
        <v>239</v>
      </c>
      <c r="D26" s="59"/>
      <c r="F26" s="35"/>
      <c r="H26" s="51">
        <v>56</v>
      </c>
    </row>
    <row r="27" spans="1:8" ht="50.1" customHeight="1" thickBot="1">
      <c r="A27" s="5">
        <v>25</v>
      </c>
      <c r="B27" s="6" t="s">
        <v>240</v>
      </c>
      <c r="D27" s="59"/>
      <c r="F27" s="35"/>
      <c r="H27" s="51">
        <v>42</v>
      </c>
    </row>
    <row r="28" spans="1:8" ht="50.1" customHeight="1" thickBot="1">
      <c r="A28" s="5">
        <v>26</v>
      </c>
      <c r="B28" s="6" t="s">
        <v>241</v>
      </c>
      <c r="D28" s="59"/>
      <c r="F28" s="35"/>
      <c r="H28" s="51">
        <v>56</v>
      </c>
    </row>
    <row r="29" spans="1:8" ht="50.1" customHeight="1" thickBot="1">
      <c r="A29" s="5">
        <v>27</v>
      </c>
      <c r="B29" s="6" t="s">
        <v>242</v>
      </c>
      <c r="D29" s="59"/>
      <c r="F29" s="35"/>
      <c r="H29" s="51">
        <v>28</v>
      </c>
    </row>
    <row r="30" spans="1:8" ht="50.1" customHeight="1" thickBot="1">
      <c r="A30" s="5">
        <v>28</v>
      </c>
      <c r="B30" s="6" t="s">
        <v>327</v>
      </c>
      <c r="D30" s="59"/>
      <c r="F30" s="35"/>
      <c r="H30" s="51">
        <v>14</v>
      </c>
    </row>
    <row r="31" spans="1:8" ht="50.1" customHeight="1" thickBot="1">
      <c r="A31" s="5">
        <v>29</v>
      </c>
      <c r="B31" s="6" t="s">
        <v>243</v>
      </c>
      <c r="D31" s="59"/>
      <c r="F31" s="35"/>
      <c r="H31" s="51">
        <v>77</v>
      </c>
    </row>
    <row r="32" spans="1:8" ht="50.1" customHeight="1" thickBot="1">
      <c r="A32" s="5">
        <v>30</v>
      </c>
      <c r="B32" s="6" t="s">
        <v>244</v>
      </c>
      <c r="D32" s="59"/>
      <c r="F32" s="35"/>
      <c r="H32" s="51">
        <v>49</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2">
    <mergeCell ref="A1:J1"/>
    <mergeCell ref="A33:D33"/>
  </mergeCells>
  <conditionalFormatting sqref="F3:F32">
    <cfRule type="cellIs" dxfId="45" priority="9" operator="equal">
      <formula>"WELL DONE"</formula>
    </cfRule>
  </conditionalFormatting>
  <conditionalFormatting sqref="F33">
    <cfRule type="cellIs" dxfId="44" priority="8" operator="between">
      <formula>10</formula>
      <formula>20</formula>
    </cfRule>
  </conditionalFormatting>
  <conditionalFormatting sqref="K3:AI3 A1">
    <cfRule type="colorScale" priority="7">
      <colorScale>
        <cfvo type="min" val="0"/>
        <cfvo type="percentile" val="50"/>
        <cfvo type="max" val="0"/>
        <color rgb="FFF8696B"/>
        <color rgb="FFFCFCFF"/>
        <color rgb="FF5A8AC6"/>
      </colorScale>
    </cfRule>
  </conditionalFormatting>
  <conditionalFormatting sqref="F3:F32">
    <cfRule type="cellIs" dxfId="43" priority="6" operator="equal">
      <formula>"WELL DONE"</formula>
    </cfRule>
  </conditionalFormatting>
  <conditionalFormatting sqref="F32">
    <cfRule type="cellIs" dxfId="42" priority="5" operator="between">
      <formula>10</formula>
      <formula>20</formula>
    </cfRule>
  </conditionalFormatting>
  <conditionalFormatting sqref="F3:F32">
    <cfRule type="cellIs" dxfId="41" priority="4" operator="equal">
      <formula>"WELL DONE"</formula>
    </cfRule>
  </conditionalFormatting>
  <conditionalFormatting sqref="F32">
    <cfRule type="cellIs" dxfId="40" priority="3" operator="between">
      <formula>10</formula>
      <formula>20</formula>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8673" r:id="rId4" name="CommandButton1"/>
    <control shapeId="28674" r:id="rId5" name="CommandButton2"/>
  </controls>
</worksheet>
</file>

<file path=xl/worksheets/sheet10.xml><?xml version="1.0" encoding="utf-8"?>
<worksheet xmlns="http://schemas.openxmlformats.org/spreadsheetml/2006/main" xmlns:r="http://schemas.openxmlformats.org/officeDocument/2006/relationships">
  <sheetPr codeName="Sheet29">
    <tabColor theme="6" tint="-0.249977111117893"/>
  </sheetPr>
  <dimension ref="A1:AI34"/>
  <sheetViews>
    <sheetView workbookViewId="0">
      <pane ySplit="1" topLeftCell="A21" activePane="bottomLeft" state="frozen"/>
      <selection activeCell="H6" sqref="H6:H7"/>
      <selection pane="bottomLeft" activeCell="D28" sqref="D28"/>
    </sheetView>
  </sheetViews>
  <sheetFormatPr defaultRowHeight="15"/>
  <cols>
    <col min="1" max="1" width="9.140625" style="25"/>
    <col min="2" max="2" width="27.4257812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c r="A2" s="101" t="s">
        <v>245</v>
      </c>
      <c r="B2" s="101"/>
      <c r="C2" s="101"/>
      <c r="D2" s="101"/>
      <c r="E2" s="101"/>
      <c r="F2" s="101"/>
      <c r="G2" s="101"/>
      <c r="H2" s="101"/>
    </row>
    <row r="3" spans="1:35" ht="50.25" customHeight="1" thickBot="1">
      <c r="A3" s="5">
        <v>1</v>
      </c>
      <c r="B3" s="6">
        <v>35</v>
      </c>
      <c r="D3" s="59"/>
      <c r="F3" s="35"/>
      <c r="H3" s="50">
        <v>7</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v>15</v>
      </c>
      <c r="D4" s="59"/>
      <c r="F4" s="35"/>
      <c r="H4" s="51">
        <v>3</v>
      </c>
    </row>
    <row r="5" spans="1:35" ht="50.1" customHeight="1" thickBot="1">
      <c r="A5" s="5">
        <v>3</v>
      </c>
      <c r="B5" s="6">
        <v>50</v>
      </c>
      <c r="D5" s="59"/>
      <c r="F5" s="35"/>
      <c r="H5" s="51">
        <v>10</v>
      </c>
    </row>
    <row r="6" spans="1:35" ht="50.1" customHeight="1" thickBot="1">
      <c r="A6" s="5">
        <v>4</v>
      </c>
      <c r="B6" s="6">
        <v>25</v>
      </c>
      <c r="D6" s="59"/>
      <c r="F6" s="35"/>
      <c r="H6" s="51">
        <v>5</v>
      </c>
    </row>
    <row r="7" spans="1:35" ht="50.1" customHeight="1" thickBot="1">
      <c r="A7" s="5">
        <v>5</v>
      </c>
      <c r="B7" s="6">
        <v>40</v>
      </c>
      <c r="D7" s="59"/>
      <c r="F7" s="35"/>
      <c r="H7" s="51">
        <v>8</v>
      </c>
    </row>
    <row r="8" spans="1:35" ht="50.1" customHeight="1" thickBot="1">
      <c r="A8" s="5">
        <v>6</v>
      </c>
      <c r="B8" s="6">
        <v>30</v>
      </c>
      <c r="D8" s="59"/>
      <c r="F8" s="35"/>
      <c r="H8" s="51">
        <v>6</v>
      </c>
    </row>
    <row r="9" spans="1:35" ht="50.1" customHeight="1" thickBot="1">
      <c r="A9" s="5">
        <v>7</v>
      </c>
      <c r="B9" s="6">
        <v>45</v>
      </c>
      <c r="D9" s="59"/>
      <c r="F9" s="35"/>
      <c r="H9" s="51">
        <v>9</v>
      </c>
    </row>
    <row r="10" spans="1:35" ht="50.1" customHeight="1" thickBot="1">
      <c r="A10" s="5">
        <v>8</v>
      </c>
      <c r="B10" s="6">
        <v>10</v>
      </c>
      <c r="D10" s="59"/>
      <c r="F10" s="35"/>
      <c r="H10" s="51">
        <v>2</v>
      </c>
    </row>
    <row r="11" spans="1:35" ht="50.1" customHeight="1" thickBot="1">
      <c r="A11" s="5">
        <v>9</v>
      </c>
      <c r="B11" s="6">
        <v>20</v>
      </c>
      <c r="D11" s="59"/>
      <c r="F11" s="35"/>
      <c r="H11" s="51">
        <v>4</v>
      </c>
    </row>
    <row r="12" spans="1:35" ht="29.25" customHeight="1" thickBot="1">
      <c r="A12" s="101" t="s">
        <v>246</v>
      </c>
      <c r="B12" s="101"/>
      <c r="C12" s="101"/>
      <c r="D12" s="101"/>
      <c r="E12" s="101"/>
      <c r="F12" s="101"/>
      <c r="G12" s="101"/>
      <c r="H12" s="101"/>
    </row>
    <row r="13" spans="1:35" ht="50.1" customHeight="1" thickBot="1">
      <c r="A13" s="5">
        <v>10</v>
      </c>
      <c r="B13" s="6">
        <v>21</v>
      </c>
      <c r="D13" s="59"/>
      <c r="F13" s="35"/>
      <c r="H13" s="51">
        <v>7</v>
      </c>
    </row>
    <row r="14" spans="1:35" ht="50.1" customHeight="1" thickBot="1">
      <c r="A14" s="5">
        <v>11</v>
      </c>
      <c r="B14" s="6">
        <v>3</v>
      </c>
      <c r="D14" s="59"/>
      <c r="F14" s="35"/>
      <c r="H14" s="51">
        <v>1</v>
      </c>
    </row>
    <row r="15" spans="1:35" ht="50.1" customHeight="1" thickBot="1">
      <c r="A15" s="5">
        <v>12</v>
      </c>
      <c r="B15" s="6">
        <v>30</v>
      </c>
      <c r="D15" s="59"/>
      <c r="F15" s="35"/>
      <c r="H15" s="51">
        <v>10</v>
      </c>
    </row>
    <row r="16" spans="1:35" ht="50.1" customHeight="1" thickBot="1">
      <c r="A16" s="5">
        <v>13</v>
      </c>
      <c r="B16" s="6">
        <v>15</v>
      </c>
      <c r="D16" s="59"/>
      <c r="F16" s="35"/>
      <c r="H16" s="51">
        <v>5</v>
      </c>
    </row>
    <row r="17" spans="1:8" ht="50.1" customHeight="1" thickBot="1">
      <c r="A17" s="5">
        <v>14</v>
      </c>
      <c r="B17" s="6">
        <v>9</v>
      </c>
      <c r="D17" s="59"/>
      <c r="F17" s="35"/>
      <c r="H17" s="51">
        <v>3</v>
      </c>
    </row>
    <row r="18" spans="1:8" ht="50.1" customHeight="1" thickBot="1">
      <c r="A18" s="5">
        <v>15</v>
      </c>
      <c r="B18" s="6">
        <v>24</v>
      </c>
      <c r="D18" s="59"/>
      <c r="F18" s="35"/>
      <c r="H18" s="51">
        <v>8</v>
      </c>
    </row>
    <row r="19" spans="1:8" ht="50.1" customHeight="1" thickBot="1">
      <c r="A19" s="5">
        <v>16</v>
      </c>
      <c r="B19" s="6">
        <v>12</v>
      </c>
      <c r="D19" s="59"/>
      <c r="F19" s="35"/>
      <c r="H19" s="51">
        <v>4</v>
      </c>
    </row>
    <row r="20" spans="1:8" ht="50.1" customHeight="1" thickBot="1">
      <c r="A20" s="5">
        <v>17</v>
      </c>
      <c r="B20" s="6">
        <v>27</v>
      </c>
      <c r="D20" s="59"/>
      <c r="F20" s="35"/>
      <c r="H20" s="51">
        <v>9</v>
      </c>
    </row>
    <row r="21" spans="1:8" ht="50.1" customHeight="1" thickBot="1">
      <c r="A21" s="5">
        <v>18</v>
      </c>
      <c r="B21" s="6" t="s">
        <v>270</v>
      </c>
      <c r="D21" s="59"/>
      <c r="F21" s="35"/>
      <c r="H21" s="51">
        <v>50</v>
      </c>
    </row>
    <row r="22" spans="1:8" ht="50.1" customHeight="1" thickBot="1">
      <c r="A22" s="5">
        <v>19</v>
      </c>
      <c r="B22" s="6" t="s">
        <v>275</v>
      </c>
      <c r="D22" s="59"/>
      <c r="F22" s="35"/>
      <c r="H22" s="51">
        <v>3</v>
      </c>
    </row>
    <row r="23" spans="1:8" ht="50.1" customHeight="1" thickBot="1">
      <c r="A23" s="5">
        <v>20</v>
      </c>
      <c r="B23" s="6" t="s">
        <v>247</v>
      </c>
      <c r="D23" s="59"/>
      <c r="F23" s="35"/>
      <c r="H23" s="51">
        <v>12</v>
      </c>
    </row>
    <row r="24" spans="1:8" ht="50.1" customHeight="1" thickBot="1">
      <c r="A24" s="5">
        <v>21</v>
      </c>
      <c r="B24" s="6" t="s">
        <v>274</v>
      </c>
      <c r="D24" s="59"/>
      <c r="F24" s="35"/>
      <c r="H24" s="51">
        <v>3</v>
      </c>
    </row>
    <row r="25" spans="1:8" ht="50.1" customHeight="1" thickBot="1">
      <c r="A25" s="5">
        <v>22</v>
      </c>
      <c r="B25" s="6" t="s">
        <v>273</v>
      </c>
      <c r="D25" s="59"/>
      <c r="F25" s="35"/>
      <c r="H25" s="51">
        <v>3</v>
      </c>
    </row>
    <row r="26" spans="1:8" ht="50.1" customHeight="1" thickBot="1">
      <c r="A26" s="5">
        <v>23</v>
      </c>
      <c r="B26" s="6" t="s">
        <v>248</v>
      </c>
      <c r="D26" s="59"/>
      <c r="F26" s="35"/>
      <c r="H26" s="51">
        <v>27</v>
      </c>
    </row>
    <row r="27" spans="1:8" ht="50.1" customHeight="1" thickBot="1">
      <c r="A27" s="5">
        <v>24</v>
      </c>
      <c r="B27" s="6" t="s">
        <v>249</v>
      </c>
      <c r="D27" s="59"/>
      <c r="F27" s="35"/>
      <c r="H27" s="51">
        <v>30</v>
      </c>
    </row>
    <row r="28" spans="1:8" ht="50.1" customHeight="1" thickBot="1">
      <c r="A28" s="5">
        <v>25</v>
      </c>
      <c r="B28" s="6" t="s">
        <v>272</v>
      </c>
      <c r="D28" s="59"/>
      <c r="F28" s="35"/>
      <c r="H28" s="51">
        <v>15</v>
      </c>
    </row>
    <row r="29" spans="1:8" ht="50.1" customHeight="1" thickBot="1">
      <c r="A29" s="5">
        <v>26</v>
      </c>
      <c r="B29" s="6" t="s">
        <v>250</v>
      </c>
      <c r="D29" s="59"/>
      <c r="F29" s="35"/>
      <c r="H29" s="51">
        <v>24</v>
      </c>
    </row>
    <row r="30" spans="1:8" ht="50.1" customHeight="1" thickBot="1">
      <c r="A30" s="5">
        <v>27</v>
      </c>
      <c r="B30" s="6" t="s">
        <v>271</v>
      </c>
      <c r="D30" s="59"/>
      <c r="F30" s="35"/>
      <c r="H30" s="51">
        <v>3</v>
      </c>
    </row>
    <row r="31" spans="1:8" ht="50.1" customHeight="1" thickBot="1">
      <c r="A31" s="5">
        <v>28</v>
      </c>
      <c r="B31" s="6" t="s">
        <v>276</v>
      </c>
      <c r="D31" s="59"/>
      <c r="F31" s="35"/>
      <c r="H31" s="51">
        <v>16</v>
      </c>
    </row>
    <row r="32" spans="1:8" ht="50.1" customHeight="1" thickBot="1">
      <c r="A32" s="5">
        <v>29</v>
      </c>
      <c r="B32" s="6" t="s">
        <v>213</v>
      </c>
      <c r="D32" s="59"/>
      <c r="F32" s="35"/>
      <c r="H32" s="51">
        <v>60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4">
    <mergeCell ref="A1:J1"/>
    <mergeCell ref="A33:D33"/>
    <mergeCell ref="A2:H2"/>
    <mergeCell ref="A12:H12"/>
  </mergeCells>
  <conditionalFormatting sqref="F3:F11 F13:F32">
    <cfRule type="cellIs" dxfId="39" priority="7" operator="equal">
      <formula>"WELL DONE"</formula>
    </cfRule>
  </conditionalFormatting>
  <conditionalFormatting sqref="F32:F33">
    <cfRule type="cellIs" dxfId="38" priority="6" operator="between">
      <formula>10</formula>
      <formula>20</formula>
    </cfRule>
  </conditionalFormatting>
  <conditionalFormatting sqref="K3:AI3 A1">
    <cfRule type="colorScale" priority="5">
      <colorScale>
        <cfvo type="min" val="0"/>
        <cfvo type="percentile" val="50"/>
        <cfvo type="max" val="0"/>
        <color rgb="FFF8696B"/>
        <color rgb="FFFCFCFF"/>
        <color rgb="FF5A8AC6"/>
      </colorScale>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29697" r:id="rId4" name="CommandButton1"/>
    <control shapeId="29698" r:id="rId5" name="CommandButton2"/>
  </controls>
</worksheet>
</file>

<file path=xl/worksheets/sheet11.xml><?xml version="1.0" encoding="utf-8"?>
<worksheet xmlns="http://schemas.openxmlformats.org/spreadsheetml/2006/main" xmlns:r="http://schemas.openxmlformats.org/officeDocument/2006/relationships">
  <sheetPr codeName="Sheet30">
    <tabColor rgb="FFFF9900"/>
  </sheetPr>
  <dimension ref="A1:AI34"/>
  <sheetViews>
    <sheetView workbookViewId="0">
      <pane ySplit="1" topLeftCell="A2" activePane="bottomLeft" state="frozen"/>
      <selection activeCell="H6" sqref="H6:H7"/>
      <selection pane="bottomLeft" activeCell="D20" sqref="D20:D32"/>
    </sheetView>
  </sheetViews>
  <sheetFormatPr defaultRowHeight="15"/>
  <cols>
    <col min="1" max="1" width="9.140625" style="25"/>
    <col min="2" max="2" width="28.7109375" style="25" bestFit="1"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c r="A2" s="101" t="s">
        <v>251</v>
      </c>
      <c r="B2" s="101"/>
      <c r="C2" s="101"/>
      <c r="D2" s="101"/>
      <c r="E2" s="101"/>
      <c r="F2" s="101"/>
      <c r="G2" s="101"/>
      <c r="H2" s="101"/>
    </row>
    <row r="3" spans="1:35" ht="50.25" customHeight="1" thickBot="1">
      <c r="A3" s="5">
        <v>1</v>
      </c>
      <c r="B3" s="6" t="s">
        <v>252</v>
      </c>
      <c r="D3" s="59"/>
      <c r="F3" s="35"/>
      <c r="H3" s="50" t="s">
        <v>263</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253</v>
      </c>
      <c r="D4" s="59"/>
      <c r="F4" s="35"/>
      <c r="H4" s="51" t="s">
        <v>264</v>
      </c>
    </row>
    <row r="5" spans="1:35" ht="50.1" customHeight="1" thickBot="1">
      <c r="A5" s="5">
        <v>3</v>
      </c>
      <c r="B5" s="6" t="s">
        <v>254</v>
      </c>
      <c r="D5" s="59"/>
      <c r="F5" s="35"/>
      <c r="H5" s="51" t="s">
        <v>265</v>
      </c>
    </row>
    <row r="6" spans="1:35" ht="50.1" customHeight="1" thickBot="1">
      <c r="A6" s="5">
        <v>4</v>
      </c>
      <c r="B6" s="6" t="s">
        <v>255</v>
      </c>
      <c r="D6" s="59"/>
      <c r="F6" s="35"/>
      <c r="H6" s="51" t="s">
        <v>263</v>
      </c>
    </row>
    <row r="7" spans="1:35" ht="50.1" customHeight="1" thickBot="1">
      <c r="A7" s="5">
        <v>5</v>
      </c>
      <c r="B7" s="6" t="s">
        <v>256</v>
      </c>
      <c r="D7" s="59"/>
      <c r="F7" s="35"/>
      <c r="H7" s="51" t="s">
        <v>265</v>
      </c>
    </row>
    <row r="8" spans="1:35" ht="50.1" customHeight="1" thickBot="1">
      <c r="A8" s="5">
        <v>6</v>
      </c>
      <c r="B8" s="40" t="s">
        <v>257</v>
      </c>
      <c r="D8" s="59"/>
      <c r="F8" s="35"/>
      <c r="H8" s="51" t="s">
        <v>265</v>
      </c>
    </row>
    <row r="9" spans="1:35" ht="50.1" customHeight="1" thickBot="1">
      <c r="A9" s="5">
        <v>7</v>
      </c>
      <c r="B9" s="6" t="s">
        <v>258</v>
      </c>
      <c r="D9" s="59"/>
      <c r="F9" s="35"/>
      <c r="H9" s="51" t="s">
        <v>264</v>
      </c>
    </row>
    <row r="10" spans="1:35" ht="50.1" customHeight="1" thickBot="1">
      <c r="A10" s="5">
        <v>8</v>
      </c>
      <c r="B10" s="6" t="s">
        <v>259</v>
      </c>
      <c r="D10" s="59"/>
      <c r="F10" s="35"/>
      <c r="H10" s="51" t="s">
        <v>263</v>
      </c>
    </row>
    <row r="11" spans="1:35" ht="50.1" customHeight="1" thickBot="1">
      <c r="A11" s="5">
        <v>9</v>
      </c>
      <c r="B11" s="6" t="s">
        <v>260</v>
      </c>
      <c r="D11" s="59"/>
      <c r="F11" s="35"/>
      <c r="H11" s="51" t="s">
        <v>264</v>
      </c>
    </row>
    <row r="12" spans="1:35" ht="50.1" customHeight="1" thickBot="1">
      <c r="A12" s="5">
        <v>10</v>
      </c>
      <c r="B12" s="6" t="s">
        <v>261</v>
      </c>
      <c r="D12" s="59"/>
      <c r="F12" s="35"/>
      <c r="H12" s="51" t="s">
        <v>264</v>
      </c>
    </row>
    <row r="13" spans="1:35" ht="32.25" customHeight="1" thickBot="1">
      <c r="A13" s="103" t="s">
        <v>2</v>
      </c>
      <c r="B13" s="103"/>
      <c r="C13" s="103"/>
      <c r="D13" s="103"/>
      <c r="E13" s="103"/>
      <c r="F13" s="104"/>
      <c r="H13" s="51"/>
    </row>
    <row r="14" spans="1:35" ht="50.1" customHeight="1" thickBot="1">
      <c r="A14" s="5">
        <v>11</v>
      </c>
      <c r="B14" s="6">
        <v>282</v>
      </c>
      <c r="D14" s="59"/>
      <c r="F14" s="35"/>
      <c r="H14" s="51">
        <v>564</v>
      </c>
    </row>
    <row r="15" spans="1:35" ht="50.1" customHeight="1" thickBot="1">
      <c r="A15" s="5">
        <v>12</v>
      </c>
      <c r="B15" s="11">
        <v>406</v>
      </c>
      <c r="D15" s="59"/>
      <c r="F15" s="35"/>
      <c r="H15" s="51">
        <v>812</v>
      </c>
    </row>
    <row r="16" spans="1:35" ht="50.1" customHeight="1" thickBot="1">
      <c r="A16" s="5">
        <v>13</v>
      </c>
      <c r="B16" s="6">
        <v>324</v>
      </c>
      <c r="D16" s="59"/>
      <c r="F16" s="35"/>
      <c r="H16" s="51">
        <v>648</v>
      </c>
    </row>
    <row r="17" spans="1:8" ht="50.1" customHeight="1" thickBot="1">
      <c r="A17" s="5">
        <v>14</v>
      </c>
      <c r="B17" s="6">
        <v>118</v>
      </c>
      <c r="D17" s="59"/>
      <c r="F17" s="35"/>
      <c r="H17" s="51">
        <v>236</v>
      </c>
    </row>
    <row r="18" spans="1:8" ht="50.1" customHeight="1" thickBot="1">
      <c r="A18" s="5">
        <v>15</v>
      </c>
      <c r="B18" s="6">
        <v>432</v>
      </c>
      <c r="D18" s="59"/>
      <c r="F18" s="35"/>
      <c r="H18" s="51">
        <v>864</v>
      </c>
    </row>
    <row r="19" spans="1:8" ht="31.5" customHeight="1" thickBot="1">
      <c r="A19" s="103" t="s">
        <v>262</v>
      </c>
      <c r="B19" s="103"/>
      <c r="C19" s="103"/>
      <c r="D19" s="103"/>
      <c r="E19" s="103"/>
      <c r="F19" s="104"/>
      <c r="H19" s="51"/>
    </row>
    <row r="20" spans="1:8" ht="50.1" customHeight="1" thickBot="1">
      <c r="A20" s="5">
        <v>16</v>
      </c>
      <c r="B20" s="6">
        <v>1258</v>
      </c>
      <c r="D20" s="59"/>
      <c r="F20" s="35"/>
      <c r="H20" s="51">
        <v>1000</v>
      </c>
    </row>
    <row r="21" spans="1:8" ht="50.1" customHeight="1" thickBot="1">
      <c r="A21" s="5">
        <v>17</v>
      </c>
      <c r="B21" s="6">
        <v>9224</v>
      </c>
      <c r="D21" s="59"/>
      <c r="F21" s="35"/>
      <c r="H21" s="51">
        <v>9000</v>
      </c>
    </row>
    <row r="22" spans="1:8" ht="50.1" customHeight="1" thickBot="1">
      <c r="A22" s="5">
        <v>18</v>
      </c>
      <c r="B22" s="6">
        <v>4532</v>
      </c>
      <c r="D22" s="59"/>
      <c r="F22" s="35"/>
      <c r="H22" s="51">
        <v>5000</v>
      </c>
    </row>
    <row r="23" spans="1:8" ht="50.1" customHeight="1" thickBot="1">
      <c r="A23" s="5">
        <v>19</v>
      </c>
      <c r="B23" s="6">
        <v>2776</v>
      </c>
      <c r="D23" s="59"/>
      <c r="F23" s="35"/>
      <c r="H23" s="51">
        <v>3000</v>
      </c>
    </row>
    <row r="24" spans="1:8" ht="50.1" customHeight="1" thickBot="1">
      <c r="A24" s="5">
        <v>20</v>
      </c>
      <c r="B24" s="6">
        <v>6518</v>
      </c>
      <c r="D24" s="59"/>
      <c r="F24" s="35"/>
      <c r="H24" s="51">
        <v>7000</v>
      </c>
    </row>
    <row r="25" spans="1:8" ht="50.1" customHeight="1" thickBot="1">
      <c r="A25" s="5">
        <v>21</v>
      </c>
      <c r="B25" s="6">
        <v>9174</v>
      </c>
      <c r="D25" s="59"/>
      <c r="F25" s="35"/>
      <c r="H25" s="51">
        <v>9000</v>
      </c>
    </row>
    <row r="26" spans="1:8" ht="50.1" customHeight="1" thickBot="1">
      <c r="A26" s="5">
        <v>22</v>
      </c>
      <c r="B26" s="6">
        <v>3579</v>
      </c>
      <c r="D26" s="59"/>
      <c r="F26" s="35"/>
      <c r="H26" s="51">
        <v>4000</v>
      </c>
    </row>
    <row r="27" spans="1:8" ht="50.1" customHeight="1" thickBot="1">
      <c r="A27" s="5">
        <v>23</v>
      </c>
      <c r="B27" s="6">
        <v>7415</v>
      </c>
      <c r="D27" s="59"/>
      <c r="F27" s="35"/>
      <c r="H27" s="51">
        <v>7000</v>
      </c>
    </row>
    <row r="28" spans="1:8" ht="50.1" customHeight="1" thickBot="1">
      <c r="A28" s="5">
        <v>24</v>
      </c>
      <c r="B28" s="6">
        <v>8663</v>
      </c>
      <c r="D28" s="59"/>
      <c r="F28" s="35"/>
      <c r="H28" s="51">
        <v>9000</v>
      </c>
    </row>
    <row r="29" spans="1:8" ht="50.1" customHeight="1" thickBot="1">
      <c r="A29" s="5">
        <v>25</v>
      </c>
      <c r="B29" s="6">
        <v>7284</v>
      </c>
      <c r="D29" s="59"/>
      <c r="F29" s="35"/>
      <c r="H29" s="51">
        <v>7000</v>
      </c>
    </row>
    <row r="30" spans="1:8" ht="50.1" customHeight="1" thickBot="1">
      <c r="A30" s="5">
        <v>26</v>
      </c>
      <c r="B30" s="6">
        <v>5505</v>
      </c>
      <c r="D30" s="59"/>
      <c r="F30" s="35"/>
      <c r="H30" s="51">
        <v>6000</v>
      </c>
    </row>
    <row r="31" spans="1:8" ht="50.1" customHeight="1" thickBot="1">
      <c r="A31" s="5">
        <v>27</v>
      </c>
      <c r="B31" s="6">
        <v>1206</v>
      </c>
      <c r="D31" s="59"/>
      <c r="F31" s="35"/>
      <c r="H31" s="51">
        <v>1000</v>
      </c>
    </row>
    <row r="32" spans="1:8" ht="50.1" customHeight="1" thickBot="1">
      <c r="A32" s="5">
        <v>28</v>
      </c>
      <c r="B32" s="6">
        <v>2722</v>
      </c>
      <c r="D32" s="59"/>
      <c r="F32" s="35"/>
      <c r="H32" s="51">
        <v>3000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5">
    <mergeCell ref="A1:J1"/>
    <mergeCell ref="A33:D33"/>
    <mergeCell ref="A2:H2"/>
    <mergeCell ref="A13:F13"/>
    <mergeCell ref="A19:F19"/>
  </mergeCells>
  <conditionalFormatting sqref="F3:F12 F14:F18 F20:F32">
    <cfRule type="cellIs" dxfId="37" priority="7" operator="equal">
      <formula>"WELL DONE"</formula>
    </cfRule>
  </conditionalFormatting>
  <conditionalFormatting sqref="F32:F33">
    <cfRule type="cellIs" dxfId="36" priority="6" operator="between">
      <formula>10</formula>
      <formula>20</formula>
    </cfRule>
  </conditionalFormatting>
  <conditionalFormatting sqref="K3:AI3 A1">
    <cfRule type="colorScale" priority="5">
      <colorScale>
        <cfvo type="min" val="0"/>
        <cfvo type="percentile" val="50"/>
        <cfvo type="max" val="0"/>
        <color rgb="FFF8696B"/>
        <color rgb="FFFCFCFF"/>
        <color rgb="FF5A8AC6"/>
      </colorScale>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0721" r:id="rId4" name="CommandButton1"/>
    <control shapeId="30722" r:id="rId5" name="CommandButton2"/>
  </controls>
</worksheet>
</file>

<file path=xl/worksheets/sheet12.xml><?xml version="1.0" encoding="utf-8"?>
<worksheet xmlns="http://schemas.openxmlformats.org/spreadsheetml/2006/main" xmlns:r="http://schemas.openxmlformats.org/officeDocument/2006/relationships">
  <sheetPr codeName="Sheet31">
    <tabColor rgb="FF612A8A"/>
  </sheetPr>
  <dimension ref="A1:AI34"/>
  <sheetViews>
    <sheetView workbookViewId="0">
      <pane ySplit="1" topLeftCell="A2" activePane="bottomLeft" state="frozen"/>
      <selection activeCell="H6" sqref="H6:H7"/>
      <selection pane="bottomLeft" activeCell="D28" sqref="D28:D32"/>
    </sheetView>
  </sheetViews>
  <sheetFormatPr defaultRowHeight="15"/>
  <cols>
    <col min="1" max="1" width="9.140625" style="25"/>
    <col min="2" max="2" width="25.42578125" style="25" customWidth="1"/>
    <col min="3" max="3" width="0.5703125" style="25" customWidth="1"/>
    <col min="4" max="4" width="1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row>
    <row r="2" spans="1:35" ht="23.25" customHeight="1" thickBot="1">
      <c r="A2" s="101" t="s">
        <v>266</v>
      </c>
      <c r="B2" s="101"/>
      <c r="C2" s="101"/>
      <c r="D2" s="101"/>
      <c r="E2" s="101"/>
      <c r="F2" s="101"/>
      <c r="G2" s="101"/>
      <c r="H2" s="101"/>
    </row>
    <row r="3" spans="1:35" ht="50.25" customHeight="1" thickBot="1">
      <c r="A3" s="5">
        <v>1</v>
      </c>
      <c r="B3" s="6">
        <v>24</v>
      </c>
      <c r="D3" s="59"/>
      <c r="F3" s="35"/>
      <c r="H3" s="50">
        <v>4</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v>18</v>
      </c>
      <c r="D4" s="59"/>
      <c r="F4" s="35"/>
      <c r="H4" s="51">
        <v>3</v>
      </c>
    </row>
    <row r="5" spans="1:35" ht="50.1" customHeight="1" thickBot="1">
      <c r="A5" s="5">
        <v>3</v>
      </c>
      <c r="B5" s="6">
        <v>42</v>
      </c>
      <c r="D5" s="59"/>
      <c r="F5" s="35"/>
      <c r="H5" s="51">
        <v>7</v>
      </c>
    </row>
    <row r="6" spans="1:35" ht="50.1" customHeight="1" thickBot="1">
      <c r="A6" s="5">
        <v>4</v>
      </c>
      <c r="B6" s="6">
        <v>54</v>
      </c>
      <c r="D6" s="59"/>
      <c r="F6" s="35"/>
      <c r="H6" s="51">
        <v>9</v>
      </c>
    </row>
    <row r="7" spans="1:35" ht="50.1" customHeight="1" thickBot="1">
      <c r="A7" s="5">
        <v>5</v>
      </c>
      <c r="B7" s="6" t="s">
        <v>277</v>
      </c>
      <c r="D7" s="59"/>
      <c r="F7" s="35"/>
      <c r="H7" s="51" t="s">
        <v>297</v>
      </c>
    </row>
    <row r="8" spans="1:35" ht="50.1" customHeight="1" thickBot="1">
      <c r="A8" s="5">
        <v>6</v>
      </c>
      <c r="B8" s="6" t="s">
        <v>278</v>
      </c>
      <c r="D8" s="59"/>
      <c r="F8" s="35"/>
      <c r="H8" s="51" t="s">
        <v>298</v>
      </c>
    </row>
    <row r="9" spans="1:35" ht="50.1" customHeight="1" thickBot="1">
      <c r="A9" s="5">
        <v>7</v>
      </c>
      <c r="B9" s="6">
        <v>30</v>
      </c>
      <c r="D9" s="59"/>
      <c r="F9" s="35"/>
      <c r="H9" s="51">
        <v>5</v>
      </c>
    </row>
    <row r="10" spans="1:35" ht="50.1" customHeight="1" thickBot="1">
      <c r="A10" s="5">
        <v>8</v>
      </c>
      <c r="B10" s="6">
        <v>12</v>
      </c>
      <c r="D10" s="59"/>
      <c r="F10" s="35"/>
      <c r="H10" s="51">
        <v>2</v>
      </c>
    </row>
    <row r="11" spans="1:35" ht="50.1" customHeight="1" thickBot="1">
      <c r="A11" s="5">
        <v>9</v>
      </c>
      <c r="B11" s="6">
        <v>60</v>
      </c>
      <c r="D11" s="59"/>
      <c r="F11" s="35"/>
      <c r="H11" s="51">
        <v>10</v>
      </c>
    </row>
    <row r="12" spans="1:35" ht="27.75" customHeight="1" thickBot="1">
      <c r="A12" s="102" t="s">
        <v>329</v>
      </c>
      <c r="B12" s="102"/>
      <c r="C12" s="102"/>
      <c r="D12" s="102"/>
      <c r="E12" s="102"/>
      <c r="F12" s="102"/>
      <c r="H12" s="51"/>
    </row>
    <row r="13" spans="1:35" ht="50.1" customHeight="1" thickBot="1">
      <c r="A13" s="5">
        <v>10</v>
      </c>
      <c r="B13" s="6" t="s">
        <v>328</v>
      </c>
      <c r="D13" s="59"/>
      <c r="F13" s="35"/>
      <c r="H13" s="51">
        <v>11</v>
      </c>
    </row>
    <row r="14" spans="1:35" ht="50.1" customHeight="1" thickBot="1">
      <c r="A14" s="5">
        <v>11</v>
      </c>
      <c r="B14" s="6" t="s">
        <v>279</v>
      </c>
      <c r="D14" s="59"/>
      <c r="F14" s="35"/>
      <c r="H14" s="51">
        <v>12</v>
      </c>
    </row>
    <row r="15" spans="1:35" ht="50.1" customHeight="1" thickBot="1">
      <c r="A15" s="5">
        <v>12</v>
      </c>
      <c r="B15" s="6" t="s">
        <v>280</v>
      </c>
      <c r="D15" s="59"/>
      <c r="F15" s="35"/>
      <c r="H15" s="51">
        <v>3</v>
      </c>
    </row>
    <row r="16" spans="1:35" ht="50.1" customHeight="1" thickBot="1">
      <c r="A16" s="5">
        <v>13</v>
      </c>
      <c r="B16" s="6" t="s">
        <v>281</v>
      </c>
      <c r="D16" s="59"/>
      <c r="F16" s="35"/>
      <c r="H16" s="51">
        <v>13</v>
      </c>
    </row>
    <row r="17" spans="1:8" ht="50.1" customHeight="1" thickBot="1">
      <c r="A17" s="5">
        <v>14</v>
      </c>
      <c r="B17" s="6" t="s">
        <v>330</v>
      </c>
      <c r="D17" s="59"/>
      <c r="F17" s="35"/>
      <c r="H17" s="51">
        <v>12</v>
      </c>
    </row>
    <row r="18" spans="1:8" ht="50.1" customHeight="1" thickBot="1">
      <c r="A18" s="5">
        <v>15</v>
      </c>
      <c r="B18" s="6" t="s">
        <v>282</v>
      </c>
      <c r="D18" s="59"/>
      <c r="F18" s="35"/>
      <c r="H18" s="51">
        <v>11</v>
      </c>
    </row>
    <row r="19" spans="1:8" ht="50.1" customHeight="1" thickBot="1">
      <c r="A19" s="5">
        <v>16</v>
      </c>
      <c r="B19" s="6" t="s">
        <v>283</v>
      </c>
      <c r="D19" s="59"/>
      <c r="F19" s="35"/>
      <c r="H19" s="51">
        <v>587</v>
      </c>
    </row>
    <row r="20" spans="1:8" ht="50.1" customHeight="1" thickBot="1">
      <c r="A20" s="5">
        <v>17</v>
      </c>
      <c r="B20" s="6" t="s">
        <v>284</v>
      </c>
      <c r="D20" s="59"/>
      <c r="F20" s="35"/>
      <c r="H20" s="51">
        <v>236</v>
      </c>
    </row>
    <row r="21" spans="1:8" ht="50.1" customHeight="1" thickBot="1">
      <c r="A21" s="5">
        <v>18</v>
      </c>
      <c r="B21" s="6" t="s">
        <v>285</v>
      </c>
      <c r="D21" s="59"/>
      <c r="F21" s="35"/>
      <c r="H21" s="51">
        <v>856</v>
      </c>
    </row>
    <row r="22" spans="1:8" ht="50.1" customHeight="1" thickBot="1">
      <c r="A22" s="5">
        <v>19</v>
      </c>
      <c r="B22" s="6" t="s">
        <v>286</v>
      </c>
      <c r="D22" s="59"/>
      <c r="F22" s="35"/>
      <c r="H22" s="51">
        <v>398</v>
      </c>
    </row>
    <row r="23" spans="1:8" ht="50.1" customHeight="1" thickBot="1">
      <c r="A23" s="5">
        <v>20</v>
      </c>
      <c r="B23" s="6" t="s">
        <v>287</v>
      </c>
      <c r="D23" s="59"/>
      <c r="F23" s="35"/>
      <c r="H23" s="51">
        <v>689</v>
      </c>
    </row>
    <row r="24" spans="1:8" ht="50.1" customHeight="1" thickBot="1">
      <c r="A24" s="5">
        <v>21</v>
      </c>
      <c r="B24" s="6" t="s">
        <v>288</v>
      </c>
      <c r="D24" s="59"/>
      <c r="F24" s="35"/>
      <c r="H24" s="51">
        <v>386</v>
      </c>
    </row>
    <row r="25" spans="1:8" ht="50.1" customHeight="1" thickBot="1">
      <c r="A25" s="5">
        <v>22</v>
      </c>
      <c r="B25" s="6" t="s">
        <v>289</v>
      </c>
      <c r="D25" s="59"/>
      <c r="F25" s="35"/>
      <c r="H25" s="51">
        <v>668</v>
      </c>
    </row>
    <row r="26" spans="1:8" ht="50.1" customHeight="1" thickBot="1">
      <c r="A26" s="5">
        <v>23</v>
      </c>
      <c r="B26" s="6" t="s">
        <v>290</v>
      </c>
      <c r="D26" s="59"/>
      <c r="F26" s="35"/>
      <c r="H26" s="51">
        <v>499</v>
      </c>
    </row>
    <row r="27" spans="1:8" ht="50.1" customHeight="1" thickBot="1">
      <c r="A27" s="5">
        <v>24</v>
      </c>
      <c r="B27" s="6" t="s">
        <v>291</v>
      </c>
      <c r="D27" s="59"/>
      <c r="F27" s="35"/>
      <c r="H27" s="51">
        <v>190</v>
      </c>
    </row>
    <row r="28" spans="1:8" ht="50.1" customHeight="1" thickBot="1">
      <c r="A28" s="5">
        <v>25</v>
      </c>
      <c r="B28" s="6" t="s">
        <v>292</v>
      </c>
      <c r="D28" s="59"/>
      <c r="F28" s="35"/>
      <c r="H28" s="51">
        <v>195</v>
      </c>
    </row>
    <row r="29" spans="1:8" ht="50.1" customHeight="1" thickBot="1">
      <c r="A29" s="5">
        <v>26</v>
      </c>
      <c r="B29" s="6" t="s">
        <v>293</v>
      </c>
      <c r="D29" s="59"/>
      <c r="F29" s="35"/>
      <c r="H29" s="51">
        <v>565</v>
      </c>
    </row>
    <row r="30" spans="1:8" ht="50.1" customHeight="1" thickBot="1">
      <c r="A30" s="5">
        <v>27</v>
      </c>
      <c r="B30" s="6" t="s">
        <v>294</v>
      </c>
      <c r="D30" s="59"/>
      <c r="F30" s="35"/>
      <c r="H30" s="51">
        <v>295</v>
      </c>
    </row>
    <row r="31" spans="1:8" ht="50.1" customHeight="1" thickBot="1">
      <c r="A31" s="5">
        <v>28</v>
      </c>
      <c r="B31" s="6" t="s">
        <v>295</v>
      </c>
      <c r="D31" s="59"/>
      <c r="F31" s="35"/>
      <c r="H31" s="51">
        <v>0</v>
      </c>
    </row>
    <row r="32" spans="1:8" ht="50.1" customHeight="1" thickBot="1">
      <c r="A32" s="5">
        <v>29</v>
      </c>
      <c r="B32" s="6" t="s">
        <v>296</v>
      </c>
      <c r="D32" s="59"/>
      <c r="F32" s="35"/>
      <c r="H32" s="51">
        <v>67</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4">
    <mergeCell ref="A1:J1"/>
    <mergeCell ref="A33:D33"/>
    <mergeCell ref="A2:H2"/>
    <mergeCell ref="A12:F12"/>
  </mergeCells>
  <conditionalFormatting sqref="F3:F11 F13:F32">
    <cfRule type="cellIs" dxfId="35" priority="8" operator="equal">
      <formula>"WELL DONE"</formula>
    </cfRule>
  </conditionalFormatting>
  <conditionalFormatting sqref="F33">
    <cfRule type="cellIs" dxfId="34" priority="7" operator="between">
      <formula>10</formula>
      <formula>20</formula>
    </cfRule>
  </conditionalFormatting>
  <conditionalFormatting sqref="K3:AI3 A1">
    <cfRule type="colorScale" priority="6">
      <colorScale>
        <cfvo type="min" val="0"/>
        <cfvo type="percentile" val="50"/>
        <cfvo type="max" val="0"/>
        <color rgb="FFF8696B"/>
        <color rgb="FFFCFCFF"/>
        <color rgb="FF5A8AC6"/>
      </colorScale>
    </cfRule>
  </conditionalFormatting>
  <conditionalFormatting sqref="F3:F11 F13:F32">
    <cfRule type="cellIs" dxfId="33" priority="5" operator="equal">
      <formula>"WELL DONE"</formula>
    </cfRule>
  </conditionalFormatting>
  <conditionalFormatting sqref="F3:F11 F13:F32">
    <cfRule type="cellIs" dxfId="32" priority="4" operator="equal">
      <formula>"WELL DONE"</formula>
    </cfRule>
  </conditionalFormatting>
  <conditionalFormatting sqref="F32">
    <cfRule type="cellIs" dxfId="31" priority="3" operator="between">
      <formula>10</formula>
      <formula>20</formula>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1745" r:id="rId4" name="CommandButton1"/>
    <control shapeId="31746" r:id="rId5" name="CommandButton2"/>
  </controls>
</worksheet>
</file>

<file path=xl/worksheets/sheet13.xml><?xml version="1.0" encoding="utf-8"?>
<worksheet xmlns="http://schemas.openxmlformats.org/spreadsheetml/2006/main" xmlns:r="http://schemas.openxmlformats.org/officeDocument/2006/relationships">
  <sheetPr codeName="Sheet13"/>
  <dimension ref="A1"/>
  <sheetViews>
    <sheetView workbookViewId="0">
      <selection activeCell="H6" sqref="H6:H7"/>
    </sheetView>
  </sheetViews>
  <sheetFormatPr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44"/>
  <dimension ref="A1"/>
  <sheetViews>
    <sheetView workbookViewId="0">
      <selection activeCell="H3" sqref="H3"/>
    </sheetView>
  </sheetViews>
  <sheetFormatPr defaultRowHeight="15"/>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33">
    <tabColor rgb="FFFF0000"/>
  </sheetPr>
  <dimension ref="A1:AI34"/>
  <sheetViews>
    <sheetView workbookViewId="0">
      <pane ySplit="1" topLeftCell="A22" activePane="bottomLeft" state="frozen"/>
      <selection activeCell="H6" sqref="H6:H7"/>
      <selection pane="bottomLeft" activeCell="D29" sqref="D29"/>
    </sheetView>
  </sheetViews>
  <sheetFormatPr defaultRowHeight="15"/>
  <cols>
    <col min="1" max="1" width="9.140625" style="25"/>
    <col min="2" max="2" width="29.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c r="K1" s="46">
        <v>0.81392361111111111</v>
      </c>
    </row>
    <row r="2" spans="1:35" ht="23.25" customHeight="1" thickBot="1"/>
    <row r="3" spans="1:35" ht="50.25" customHeight="1" thickBot="1">
      <c r="A3" s="5">
        <v>1</v>
      </c>
      <c r="B3" s="6" t="s">
        <v>331</v>
      </c>
      <c r="D3" s="59"/>
      <c r="F3" s="35"/>
      <c r="H3" s="50">
        <v>3</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332</v>
      </c>
      <c r="D4" s="59"/>
      <c r="F4" s="35"/>
      <c r="H4" s="51">
        <v>4</v>
      </c>
    </row>
    <row r="5" spans="1:35" ht="50.1" customHeight="1" thickBot="1">
      <c r="A5" s="5">
        <v>3</v>
      </c>
      <c r="B5" s="6" t="s">
        <v>333</v>
      </c>
      <c r="D5" s="59"/>
      <c r="F5" s="35"/>
      <c r="H5" s="51">
        <v>10</v>
      </c>
    </row>
    <row r="6" spans="1:35" ht="50.1" customHeight="1" thickBot="1">
      <c r="A6" s="5">
        <v>4</v>
      </c>
      <c r="B6" s="6" t="s">
        <v>334</v>
      </c>
      <c r="D6" s="59"/>
      <c r="F6" s="35"/>
      <c r="H6" s="51">
        <v>8</v>
      </c>
    </row>
    <row r="7" spans="1:35" ht="50.1" customHeight="1" thickBot="1">
      <c r="A7" s="5">
        <v>5</v>
      </c>
      <c r="B7" s="6" t="s">
        <v>335</v>
      </c>
      <c r="D7" s="59"/>
      <c r="F7" s="35"/>
      <c r="H7" s="51">
        <v>7</v>
      </c>
    </row>
    <row r="8" spans="1:35" ht="50.1" customHeight="1" thickBot="1">
      <c r="A8" s="5">
        <v>6</v>
      </c>
      <c r="B8" s="6" t="s">
        <v>336</v>
      </c>
      <c r="D8" s="59"/>
      <c r="F8" s="35"/>
      <c r="H8" s="51">
        <v>8</v>
      </c>
    </row>
    <row r="9" spans="1:35" ht="50.1" customHeight="1" thickBot="1">
      <c r="A9" s="5">
        <v>7</v>
      </c>
      <c r="B9" s="6" t="s">
        <v>337</v>
      </c>
      <c r="D9" s="59"/>
      <c r="F9" s="35"/>
      <c r="H9" s="51">
        <v>5</v>
      </c>
    </row>
    <row r="10" spans="1:35" ht="50.1" customHeight="1" thickBot="1">
      <c r="A10" s="5">
        <v>8</v>
      </c>
      <c r="B10" s="6" t="s">
        <v>338</v>
      </c>
      <c r="D10" s="59"/>
      <c r="F10" s="35"/>
      <c r="H10" s="51">
        <v>7</v>
      </c>
    </row>
    <row r="11" spans="1:35" ht="50.1" customHeight="1" thickBot="1">
      <c r="A11" s="5">
        <v>9</v>
      </c>
      <c r="B11" s="6" t="s">
        <v>339</v>
      </c>
      <c r="D11" s="59"/>
      <c r="F11" s="35"/>
      <c r="H11" s="51">
        <v>10</v>
      </c>
    </row>
    <row r="12" spans="1:35" ht="50.1" customHeight="1" thickBot="1">
      <c r="A12" s="5">
        <v>10</v>
      </c>
      <c r="B12" s="6" t="s">
        <v>340</v>
      </c>
      <c r="D12" s="59"/>
      <c r="F12" s="35"/>
      <c r="H12" s="51">
        <v>5</v>
      </c>
    </row>
    <row r="13" spans="1:35" ht="50.1" customHeight="1" thickBot="1">
      <c r="A13" s="5">
        <v>11</v>
      </c>
      <c r="B13" s="6" t="s">
        <v>341</v>
      </c>
      <c r="D13" s="59"/>
      <c r="F13" s="35"/>
      <c r="H13" s="51">
        <v>9</v>
      </c>
    </row>
    <row r="14" spans="1:35" ht="50.1" customHeight="1" thickBot="1">
      <c r="A14" s="5">
        <v>12</v>
      </c>
      <c r="B14" s="6" t="s">
        <v>342</v>
      </c>
      <c r="D14" s="59"/>
      <c r="F14" s="35"/>
      <c r="H14" s="51">
        <v>5</v>
      </c>
    </row>
    <row r="15" spans="1:35" ht="50.1" customHeight="1" thickBot="1">
      <c r="A15" s="5">
        <v>13</v>
      </c>
      <c r="B15" s="6" t="s">
        <v>343</v>
      </c>
      <c r="D15" s="59"/>
      <c r="F15" s="35"/>
      <c r="H15" s="51">
        <v>5</v>
      </c>
    </row>
    <row r="16" spans="1:35" ht="50.1" customHeight="1" thickBot="1">
      <c r="A16" s="5">
        <v>14</v>
      </c>
      <c r="B16" s="6" t="s">
        <v>344</v>
      </c>
      <c r="D16" s="59"/>
      <c r="F16" s="35"/>
      <c r="H16" s="51">
        <v>6</v>
      </c>
    </row>
    <row r="17" spans="1:8" ht="50.1" customHeight="1" thickBot="1">
      <c r="A17" s="5">
        <v>15</v>
      </c>
      <c r="B17" s="6" t="s">
        <v>345</v>
      </c>
      <c r="D17" s="59"/>
      <c r="F17" s="35"/>
      <c r="H17" s="51">
        <v>4</v>
      </c>
    </row>
    <row r="18" spans="1:8" ht="50.1" customHeight="1" thickBot="1">
      <c r="A18" s="5">
        <v>16</v>
      </c>
      <c r="B18" s="6" t="s">
        <v>346</v>
      </c>
      <c r="D18" s="59"/>
      <c r="F18" s="35"/>
      <c r="H18" s="51">
        <v>3</v>
      </c>
    </row>
    <row r="19" spans="1:8" ht="50.1" customHeight="1" thickBot="1">
      <c r="A19" s="5">
        <v>17</v>
      </c>
      <c r="B19" s="6" t="s">
        <v>347</v>
      </c>
      <c r="D19" s="59"/>
      <c r="F19" s="35"/>
      <c r="H19" s="51">
        <v>3</v>
      </c>
    </row>
    <row r="20" spans="1:8" ht="50.1" customHeight="1" thickBot="1">
      <c r="A20" s="5">
        <v>18</v>
      </c>
      <c r="B20" s="6" t="s">
        <v>234</v>
      </c>
      <c r="D20" s="59"/>
      <c r="F20" s="35"/>
      <c r="H20" s="51">
        <v>6</v>
      </c>
    </row>
    <row r="21" spans="1:8" ht="50.1" customHeight="1" thickBot="1">
      <c r="A21" s="5">
        <v>19</v>
      </c>
      <c r="B21" s="6" t="s">
        <v>299</v>
      </c>
      <c r="D21" s="59"/>
      <c r="F21" s="35"/>
      <c r="H21" s="51">
        <v>18</v>
      </c>
    </row>
    <row r="22" spans="1:8" ht="50.1" customHeight="1" thickBot="1">
      <c r="A22" s="5">
        <v>20</v>
      </c>
      <c r="B22" s="6" t="s">
        <v>300</v>
      </c>
      <c r="D22" s="59"/>
      <c r="F22" s="35"/>
      <c r="H22" s="51">
        <v>24</v>
      </c>
    </row>
    <row r="23" spans="1:8" ht="50.1" customHeight="1" thickBot="1">
      <c r="A23" s="5">
        <v>21</v>
      </c>
      <c r="B23" s="6" t="s">
        <v>301</v>
      </c>
      <c r="D23" s="59"/>
      <c r="F23" s="35"/>
      <c r="H23" s="51">
        <v>72</v>
      </c>
    </row>
    <row r="24" spans="1:8" ht="50.1" customHeight="1" thickBot="1">
      <c r="A24" s="5">
        <v>22</v>
      </c>
      <c r="B24" s="6" t="s">
        <v>7</v>
      </c>
      <c r="D24" s="59"/>
      <c r="F24" s="35"/>
      <c r="H24" s="51">
        <v>70</v>
      </c>
    </row>
    <row r="25" spans="1:8" ht="50.1" customHeight="1" thickBot="1">
      <c r="A25" s="5">
        <v>23</v>
      </c>
      <c r="B25" s="6" t="s">
        <v>302</v>
      </c>
      <c r="D25" s="59"/>
      <c r="F25" s="35"/>
      <c r="H25" s="51">
        <v>25</v>
      </c>
    </row>
    <row r="26" spans="1:8" ht="50.1" customHeight="1" thickBot="1">
      <c r="A26" s="5">
        <v>24</v>
      </c>
      <c r="B26" s="6" t="s">
        <v>303</v>
      </c>
      <c r="D26" s="59"/>
      <c r="F26" s="35"/>
      <c r="H26" s="51">
        <v>32</v>
      </c>
    </row>
    <row r="27" spans="1:8" ht="50.1" customHeight="1" thickBot="1">
      <c r="A27" s="5">
        <v>25</v>
      </c>
      <c r="B27" s="6" t="s">
        <v>227</v>
      </c>
      <c r="D27" s="59"/>
      <c r="F27" s="35"/>
      <c r="H27" s="51">
        <v>42</v>
      </c>
    </row>
    <row r="28" spans="1:8" ht="50.1" customHeight="1" thickBot="1">
      <c r="A28" s="5">
        <v>26</v>
      </c>
      <c r="B28" s="6" t="s">
        <v>4</v>
      </c>
      <c r="D28" s="59"/>
      <c r="F28" s="35"/>
      <c r="H28" s="51">
        <v>50</v>
      </c>
    </row>
    <row r="29" spans="1:8" ht="50.1" customHeight="1" thickBot="1">
      <c r="A29" s="5">
        <v>27</v>
      </c>
      <c r="B29" s="6" t="s">
        <v>304</v>
      </c>
      <c r="D29" s="59"/>
      <c r="F29" s="35"/>
      <c r="H29" s="51">
        <v>56</v>
      </c>
    </row>
    <row r="30" spans="1:8" ht="50.1" customHeight="1" thickBot="1">
      <c r="A30" s="5">
        <v>28</v>
      </c>
      <c r="B30" s="6" t="s">
        <v>305</v>
      </c>
      <c r="D30" s="59"/>
      <c r="F30" s="35"/>
      <c r="H30" s="51">
        <v>36</v>
      </c>
    </row>
    <row r="31" spans="1:8" ht="50.1" customHeight="1" thickBot="1">
      <c r="A31" s="5">
        <v>29</v>
      </c>
      <c r="B31" s="6" t="s">
        <v>10</v>
      </c>
      <c r="D31" s="59"/>
      <c r="F31" s="35"/>
      <c r="H31" s="51">
        <v>21</v>
      </c>
    </row>
    <row r="32" spans="1:8" ht="50.1" customHeight="1" thickBot="1">
      <c r="A32" s="5">
        <v>30</v>
      </c>
      <c r="B32" s="6" t="s">
        <v>306</v>
      </c>
      <c r="D32" s="59"/>
      <c r="F32" s="35"/>
      <c r="H32" s="51">
        <v>64</v>
      </c>
    </row>
    <row r="33" spans="1:6" ht="54" customHeight="1" thickBot="1">
      <c r="A33" s="91" t="s">
        <v>0</v>
      </c>
      <c r="B33" s="92"/>
      <c r="C33" s="92"/>
      <c r="D33" s="93"/>
      <c r="F33" s="26" t="str">
        <f>IF(F3="","",COUNTIF(F3:F32,"WELL DONE"))</f>
        <v/>
      </c>
    </row>
    <row r="34" spans="1:6" ht="3" customHeight="1"/>
  </sheetData>
  <sheetProtection password="CC6E" sheet="1" objects="1" scenarios="1" selectLockedCells="1"/>
  <mergeCells count="2">
    <mergeCell ref="A1:J1"/>
    <mergeCell ref="A33:D33"/>
  </mergeCells>
  <conditionalFormatting sqref="F3:F32">
    <cfRule type="cellIs" dxfId="30" priority="8" operator="equal">
      <formula>"WELL DONE"</formula>
    </cfRule>
  </conditionalFormatting>
  <conditionalFormatting sqref="F33">
    <cfRule type="cellIs" dxfId="29" priority="7" operator="between">
      <formula>10</formula>
      <formula>20</formula>
    </cfRule>
  </conditionalFormatting>
  <conditionalFormatting sqref="K3:AI3 A1">
    <cfRule type="colorScale" priority="6">
      <colorScale>
        <cfvo type="min" val="0"/>
        <cfvo type="percentile" val="50"/>
        <cfvo type="max" val="0"/>
        <color rgb="FFF8696B"/>
        <color rgb="FFFCFCFF"/>
        <color rgb="FF5A8AC6"/>
      </colorScale>
    </cfRule>
  </conditionalFormatting>
  <conditionalFormatting sqref="F3:F32">
    <cfRule type="cellIs" dxfId="28" priority="5" operator="equal">
      <formula>"WELL DONE"</formula>
    </cfRule>
  </conditionalFormatting>
  <conditionalFormatting sqref="F3:F32">
    <cfRule type="cellIs" dxfId="27" priority="4" operator="equal">
      <formula>"WELL DONE"</formula>
    </cfRule>
  </conditionalFormatting>
  <conditionalFormatting sqref="F32">
    <cfRule type="cellIs" dxfId="26" priority="3" operator="between">
      <formula>10</formula>
      <formula>20</formula>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3793" r:id="rId4" name="CommandButton1"/>
    <control shapeId="33794" r:id="rId5" name="CommandButton2"/>
  </controls>
</worksheet>
</file>

<file path=xl/worksheets/sheet16.xml><?xml version="1.0" encoding="utf-8"?>
<worksheet xmlns="http://schemas.openxmlformats.org/spreadsheetml/2006/main" xmlns:r="http://schemas.openxmlformats.org/officeDocument/2006/relationships">
  <sheetPr codeName="Sheet32">
    <tabColor rgb="FF0000FF"/>
  </sheetPr>
  <dimension ref="A1:AI34"/>
  <sheetViews>
    <sheetView workbookViewId="0">
      <pane ySplit="1" topLeftCell="A2" activePane="bottomLeft" state="frozen"/>
      <selection activeCell="H6" sqref="H6:H7"/>
      <selection pane="bottomLeft" activeCell="D28" sqref="D28"/>
    </sheetView>
  </sheetViews>
  <sheetFormatPr defaultRowHeight="15"/>
  <cols>
    <col min="1" max="1" width="9.140625" style="25"/>
    <col min="2" max="2" width="22.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c r="K1" s="46">
        <v>0.81537037037037041</v>
      </c>
    </row>
    <row r="2" spans="1:35" ht="23.25" customHeight="1" thickBot="1">
      <c r="A2" s="101" t="s">
        <v>246</v>
      </c>
      <c r="B2" s="101"/>
      <c r="C2" s="101"/>
      <c r="D2" s="101"/>
      <c r="E2" s="101"/>
      <c r="F2" s="101"/>
      <c r="G2" s="101"/>
      <c r="H2" s="101"/>
    </row>
    <row r="3" spans="1:35" ht="50.25" customHeight="1" thickBot="1">
      <c r="A3" s="5">
        <v>1</v>
      </c>
      <c r="B3" s="6">
        <v>36</v>
      </c>
      <c r="D3" s="59"/>
      <c r="F3" s="35"/>
      <c r="H3" s="50">
        <v>12</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v>18</v>
      </c>
      <c r="D4" s="59"/>
      <c r="F4" s="35"/>
      <c r="H4" s="51">
        <v>6</v>
      </c>
    </row>
    <row r="5" spans="1:35" ht="50.1" customHeight="1" thickBot="1">
      <c r="A5" s="5">
        <v>3</v>
      </c>
      <c r="B5" s="6">
        <v>21</v>
      </c>
      <c r="D5" s="59"/>
      <c r="F5" s="35"/>
      <c r="H5" s="51">
        <v>7</v>
      </c>
    </row>
    <row r="6" spans="1:35" ht="50.1" customHeight="1" thickBot="1">
      <c r="A6" s="5">
        <v>4</v>
      </c>
      <c r="B6" s="6">
        <v>30</v>
      </c>
      <c r="D6" s="59"/>
      <c r="F6" s="35"/>
      <c r="H6" s="51">
        <v>10</v>
      </c>
    </row>
    <row r="7" spans="1:35" ht="50.1" customHeight="1" thickBot="1">
      <c r="A7" s="5">
        <v>5</v>
      </c>
      <c r="B7" s="41">
        <v>12</v>
      </c>
      <c r="D7" s="59"/>
      <c r="F7" s="35"/>
      <c r="H7" s="51">
        <v>4</v>
      </c>
    </row>
    <row r="8" spans="1:35" ht="31.5" customHeight="1" thickBot="1">
      <c r="A8" s="102" t="s">
        <v>307</v>
      </c>
      <c r="B8" s="102"/>
      <c r="C8" s="102"/>
      <c r="D8" s="102"/>
      <c r="E8" s="102"/>
      <c r="F8" s="102"/>
      <c r="H8" s="51"/>
    </row>
    <row r="9" spans="1:35" ht="50.1" customHeight="1" thickBot="1">
      <c r="A9" s="5">
        <v>6</v>
      </c>
      <c r="B9" s="6">
        <v>24</v>
      </c>
      <c r="D9" s="59"/>
      <c r="F9" s="35"/>
      <c r="H9" s="51">
        <v>6</v>
      </c>
    </row>
    <row r="10" spans="1:35" ht="50.1" customHeight="1" thickBot="1">
      <c r="A10" s="5">
        <v>7</v>
      </c>
      <c r="B10" s="6">
        <v>12</v>
      </c>
      <c r="D10" s="59"/>
      <c r="F10" s="35"/>
      <c r="H10" s="51">
        <v>3</v>
      </c>
    </row>
    <row r="11" spans="1:35" ht="50.1" customHeight="1" thickBot="1">
      <c r="A11" s="5">
        <v>8</v>
      </c>
      <c r="B11" s="6">
        <v>40</v>
      </c>
      <c r="D11" s="59"/>
      <c r="F11" s="35"/>
      <c r="H11" s="51">
        <v>10</v>
      </c>
    </row>
    <row r="12" spans="1:35" ht="50.1" customHeight="1" thickBot="1">
      <c r="A12" s="5">
        <v>9</v>
      </c>
      <c r="B12" s="6">
        <v>20</v>
      </c>
      <c r="D12" s="59"/>
      <c r="F12" s="35"/>
      <c r="H12" s="51">
        <v>5</v>
      </c>
    </row>
    <row r="13" spans="1:35" ht="50.1" customHeight="1" thickBot="1">
      <c r="A13" s="5">
        <v>10</v>
      </c>
      <c r="B13" s="6">
        <v>28</v>
      </c>
      <c r="D13" s="59"/>
      <c r="F13" s="35"/>
      <c r="H13" s="51">
        <v>7</v>
      </c>
    </row>
    <row r="14" spans="1:35" ht="50.1" customHeight="1" thickBot="1">
      <c r="A14" s="5">
        <v>11</v>
      </c>
      <c r="B14" s="6">
        <v>16</v>
      </c>
      <c r="D14" s="59"/>
      <c r="F14" s="35"/>
      <c r="H14" s="51">
        <v>4</v>
      </c>
    </row>
    <row r="15" spans="1:35" ht="27" customHeight="1" thickBot="1">
      <c r="A15" s="102" t="s">
        <v>245</v>
      </c>
      <c r="B15" s="102"/>
      <c r="C15" s="102"/>
      <c r="D15" s="102"/>
      <c r="E15" s="102"/>
      <c r="F15" s="102"/>
      <c r="H15" s="51"/>
    </row>
    <row r="16" spans="1:35" ht="50.1" customHeight="1" thickBot="1">
      <c r="A16" s="5">
        <v>12</v>
      </c>
      <c r="B16" s="6">
        <v>25</v>
      </c>
      <c r="D16" s="59"/>
      <c r="F16" s="35"/>
      <c r="H16" s="51">
        <v>5</v>
      </c>
    </row>
    <row r="17" spans="1:8" ht="50.1" customHeight="1" thickBot="1">
      <c r="A17" s="5">
        <v>13</v>
      </c>
      <c r="B17" s="6">
        <v>10</v>
      </c>
      <c r="D17" s="59"/>
      <c r="F17" s="35"/>
      <c r="H17" s="51">
        <v>2</v>
      </c>
    </row>
    <row r="18" spans="1:8" ht="50.1" customHeight="1" thickBot="1">
      <c r="A18" s="5">
        <v>14</v>
      </c>
      <c r="B18" s="6">
        <v>40</v>
      </c>
      <c r="D18" s="59"/>
      <c r="F18" s="35"/>
      <c r="H18" s="51">
        <v>8</v>
      </c>
    </row>
    <row r="19" spans="1:8" ht="50.1" customHeight="1" thickBot="1">
      <c r="A19" s="5">
        <v>15</v>
      </c>
      <c r="B19" s="6">
        <v>35</v>
      </c>
      <c r="D19" s="59"/>
      <c r="F19" s="35"/>
      <c r="H19" s="51">
        <v>7</v>
      </c>
    </row>
    <row r="20" spans="1:8" ht="50.1" customHeight="1" thickBot="1">
      <c r="A20" s="5">
        <v>16</v>
      </c>
      <c r="B20" s="6">
        <v>50</v>
      </c>
      <c r="D20" s="59"/>
      <c r="F20" s="35"/>
      <c r="H20" s="51">
        <v>10</v>
      </c>
    </row>
    <row r="21" spans="1:8" ht="26.25" customHeight="1" thickBot="1">
      <c r="A21" s="102" t="s">
        <v>266</v>
      </c>
      <c r="B21" s="102"/>
      <c r="C21" s="102"/>
      <c r="D21" s="102"/>
      <c r="E21" s="102"/>
      <c r="F21" s="102"/>
      <c r="H21" s="51">
        <v>1200</v>
      </c>
    </row>
    <row r="22" spans="1:8" ht="50.1" customHeight="1" thickBot="1">
      <c r="A22" s="5">
        <v>17</v>
      </c>
      <c r="B22" s="6">
        <v>30</v>
      </c>
      <c r="D22" s="59"/>
      <c r="F22" s="35"/>
      <c r="H22" s="51">
        <v>5</v>
      </c>
    </row>
    <row r="23" spans="1:8" ht="50.1" customHeight="1" thickBot="1">
      <c r="A23" s="5">
        <v>18</v>
      </c>
      <c r="B23" s="6">
        <v>12</v>
      </c>
      <c r="D23" s="59"/>
      <c r="F23" s="35"/>
      <c r="H23" s="51">
        <v>2</v>
      </c>
    </row>
    <row r="24" spans="1:8" ht="50.1" customHeight="1" thickBot="1">
      <c r="A24" s="5">
        <v>19</v>
      </c>
      <c r="B24" s="6">
        <v>24</v>
      </c>
      <c r="D24" s="59"/>
      <c r="F24" s="35"/>
      <c r="H24" s="51">
        <v>4</v>
      </c>
    </row>
    <row r="25" spans="1:8" ht="50.1" customHeight="1" thickBot="1">
      <c r="A25" s="5">
        <v>20</v>
      </c>
      <c r="B25" s="6">
        <v>36</v>
      </c>
      <c r="D25" s="59"/>
      <c r="F25" s="35"/>
      <c r="H25" s="51">
        <v>6</v>
      </c>
    </row>
    <row r="26" spans="1:8" ht="50.1" customHeight="1" thickBot="1">
      <c r="A26" s="5">
        <v>21</v>
      </c>
      <c r="B26" s="6">
        <v>54</v>
      </c>
      <c r="D26" s="59"/>
      <c r="F26" s="35"/>
      <c r="H26" s="51">
        <v>9</v>
      </c>
    </row>
    <row r="27" spans="1:8" ht="50.1" customHeight="1" thickBot="1">
      <c r="A27" s="5">
        <v>22</v>
      </c>
      <c r="B27" s="6" t="s">
        <v>308</v>
      </c>
      <c r="D27" s="59"/>
      <c r="F27" s="35"/>
      <c r="H27" s="51">
        <v>600</v>
      </c>
    </row>
    <row r="28" spans="1:8" ht="50.1" customHeight="1" thickBot="1">
      <c r="A28" s="5">
        <v>23</v>
      </c>
      <c r="B28" s="6" t="s">
        <v>59</v>
      </c>
      <c r="D28" s="59"/>
      <c r="F28" s="35"/>
      <c r="H28" s="51">
        <v>6000</v>
      </c>
    </row>
    <row r="29" spans="1:8" ht="50.1" customHeight="1" thickBot="1">
      <c r="A29" s="5">
        <v>24</v>
      </c>
      <c r="B29" s="6" t="s">
        <v>309</v>
      </c>
      <c r="D29" s="59"/>
      <c r="F29" s="35"/>
      <c r="H29" s="51">
        <v>60</v>
      </c>
    </row>
    <row r="30" spans="1:8" ht="50.1" customHeight="1" thickBot="1">
      <c r="A30" s="5">
        <v>25</v>
      </c>
      <c r="B30" s="6" t="s">
        <v>308</v>
      </c>
      <c r="D30" s="59"/>
      <c r="F30" s="35"/>
      <c r="H30" s="51">
        <v>600</v>
      </c>
    </row>
    <row r="31" spans="1:8" ht="50.1" customHeight="1" thickBot="1">
      <c r="A31" s="5">
        <v>26</v>
      </c>
      <c r="B31" s="6" t="s">
        <v>58</v>
      </c>
      <c r="D31" s="59"/>
      <c r="F31" s="35"/>
      <c r="H31" s="51">
        <v>5000</v>
      </c>
    </row>
    <row r="32" spans="1:8" ht="50.1" customHeight="1" thickBot="1">
      <c r="A32" s="5">
        <v>27</v>
      </c>
      <c r="B32" s="6" t="s">
        <v>57</v>
      </c>
      <c r="D32" s="59"/>
      <c r="F32" s="35"/>
      <c r="H32" s="51">
        <v>7000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6">
    <mergeCell ref="A1:J1"/>
    <mergeCell ref="A33:D33"/>
    <mergeCell ref="A2:H2"/>
    <mergeCell ref="A8:F8"/>
    <mergeCell ref="A15:F15"/>
    <mergeCell ref="A21:F21"/>
  </mergeCells>
  <conditionalFormatting sqref="F3:F7 F9:F14 F16:F20 F22:F32">
    <cfRule type="cellIs" dxfId="25" priority="8" operator="equal">
      <formula>"WELL DONE"</formula>
    </cfRule>
  </conditionalFormatting>
  <conditionalFormatting sqref="F32:F33">
    <cfRule type="cellIs" dxfId="24" priority="7" operator="between">
      <formula>10</formula>
      <formula>20</formula>
    </cfRule>
  </conditionalFormatting>
  <conditionalFormatting sqref="K3:AI3 A1">
    <cfRule type="colorScale" priority="6">
      <colorScale>
        <cfvo type="min" val="0"/>
        <cfvo type="percentile" val="50"/>
        <cfvo type="max" val="0"/>
        <color rgb="FFF8696B"/>
        <color rgb="FFFCFCFF"/>
        <color rgb="FF5A8AC6"/>
      </colorScale>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2769" r:id="rId4" name="CommandButton1"/>
    <control shapeId="32770" r:id="rId5" name="CommandButton2"/>
  </controls>
</worksheet>
</file>

<file path=xl/worksheets/sheet17.xml><?xml version="1.0" encoding="utf-8"?>
<worksheet xmlns="http://schemas.openxmlformats.org/spreadsheetml/2006/main" xmlns:r="http://schemas.openxmlformats.org/officeDocument/2006/relationships">
  <sheetPr codeName="Sheet21"/>
  <dimension ref="A1"/>
  <sheetViews>
    <sheetView workbookViewId="0">
      <selection activeCell="K32" sqref="K32"/>
    </sheetView>
  </sheetViews>
  <sheetFormatPr defaultRowHeight="15"/>
  <sheetData>
    <row r="1" spans="1:1">
      <c r="A1" t="s">
        <v>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5">
    <tabColor rgb="FF009900"/>
  </sheetPr>
  <dimension ref="A1:AI34"/>
  <sheetViews>
    <sheetView workbookViewId="0">
      <pane ySplit="1" topLeftCell="A21" activePane="bottomLeft" state="frozen"/>
      <selection activeCell="H6" sqref="H6:H7"/>
      <selection pane="bottomLeft" activeCell="D28" sqref="D28"/>
    </sheetView>
  </sheetViews>
  <sheetFormatPr defaultRowHeight="15"/>
  <cols>
    <col min="1" max="1" width="9.140625" style="25"/>
    <col min="2" max="2" width="22.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9.140625" style="25"/>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c r="K1" s="46">
        <v>0.81672453703703696</v>
      </c>
    </row>
    <row r="2" spans="1:35" ht="23.25" customHeight="1" thickBot="1"/>
    <row r="3" spans="1:35" ht="50.25" customHeight="1" thickBot="1">
      <c r="A3" s="5">
        <v>1</v>
      </c>
      <c r="B3" s="6" t="s">
        <v>60</v>
      </c>
      <c r="D3" s="59"/>
      <c r="F3" s="35"/>
      <c r="H3" s="50">
        <v>100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t="s">
        <v>61</v>
      </c>
      <c r="D4" s="59"/>
      <c r="F4" s="35"/>
      <c r="H4" s="51">
        <v>100</v>
      </c>
    </row>
    <row r="5" spans="1:35" ht="50.1" customHeight="1" thickBot="1">
      <c r="A5" s="5">
        <v>3</v>
      </c>
      <c r="B5" s="6" t="s">
        <v>62</v>
      </c>
      <c r="D5" s="59"/>
      <c r="F5" s="35"/>
      <c r="H5" s="51">
        <v>100</v>
      </c>
    </row>
    <row r="6" spans="1:35" ht="50.1" customHeight="1" thickBot="1">
      <c r="A6" s="5">
        <v>4</v>
      </c>
      <c r="B6" s="6" t="s">
        <v>63</v>
      </c>
      <c r="D6" s="59"/>
      <c r="F6" s="35"/>
      <c r="H6" s="51">
        <v>100</v>
      </c>
    </row>
    <row r="7" spans="1:35" ht="50.1" customHeight="1" thickBot="1">
      <c r="A7" s="5">
        <v>5</v>
      </c>
      <c r="B7" s="6" t="s">
        <v>64</v>
      </c>
      <c r="D7" s="59"/>
      <c r="F7" s="35"/>
      <c r="H7" s="51">
        <v>100</v>
      </c>
    </row>
    <row r="8" spans="1:35" ht="50.1" customHeight="1" thickBot="1">
      <c r="A8" s="5">
        <v>6</v>
      </c>
      <c r="B8" s="6" t="s">
        <v>65</v>
      </c>
      <c r="D8" s="59"/>
      <c r="F8" s="35"/>
      <c r="H8" s="51">
        <v>72</v>
      </c>
    </row>
    <row r="9" spans="1:35" ht="50.1" customHeight="1" thickBot="1">
      <c r="A9" s="5">
        <v>7</v>
      </c>
      <c r="B9" s="6" t="s">
        <v>66</v>
      </c>
      <c r="D9" s="59"/>
      <c r="F9" s="35"/>
      <c r="H9" s="51">
        <v>32</v>
      </c>
    </row>
    <row r="10" spans="1:35" ht="50.1" customHeight="1" thickBot="1">
      <c r="A10" s="5">
        <v>8</v>
      </c>
      <c r="B10" s="6" t="s">
        <v>67</v>
      </c>
      <c r="D10" s="59"/>
      <c r="F10" s="35"/>
      <c r="H10" s="51">
        <v>15</v>
      </c>
    </row>
    <row r="11" spans="1:35" ht="50.1" customHeight="1" thickBot="1">
      <c r="A11" s="5">
        <v>9</v>
      </c>
      <c r="B11" s="6" t="s">
        <v>68</v>
      </c>
      <c r="D11" s="59"/>
      <c r="F11" s="35"/>
      <c r="H11" s="51">
        <v>65</v>
      </c>
    </row>
    <row r="12" spans="1:35" ht="50.1" customHeight="1" thickBot="1">
      <c r="A12" s="5">
        <v>10</v>
      </c>
      <c r="B12" s="6" t="s">
        <v>69</v>
      </c>
      <c r="D12" s="59"/>
      <c r="F12" s="35"/>
      <c r="H12" s="51">
        <v>26</v>
      </c>
    </row>
    <row r="13" spans="1:35" ht="50.1" customHeight="1" thickBot="1">
      <c r="A13" s="5">
        <v>11</v>
      </c>
      <c r="B13" s="6" t="s">
        <v>70</v>
      </c>
      <c r="D13" s="59"/>
      <c r="F13" s="35"/>
      <c r="H13" s="51">
        <v>200</v>
      </c>
    </row>
    <row r="14" spans="1:35" ht="50.1" customHeight="1" thickBot="1">
      <c r="A14" s="5">
        <v>12</v>
      </c>
      <c r="B14" s="6" t="s">
        <v>71</v>
      </c>
      <c r="D14" s="59"/>
      <c r="F14" s="35"/>
      <c r="H14" s="51">
        <v>400</v>
      </c>
    </row>
    <row r="15" spans="1:35" ht="50.1" customHeight="1" thickBot="1">
      <c r="A15" s="5">
        <v>13</v>
      </c>
      <c r="B15" s="6" t="s">
        <v>72</v>
      </c>
      <c r="D15" s="59"/>
      <c r="F15" s="35"/>
      <c r="H15" s="51">
        <v>700</v>
      </c>
    </row>
    <row r="16" spans="1:35" ht="50.1" customHeight="1" thickBot="1">
      <c r="A16" s="5">
        <v>14</v>
      </c>
      <c r="B16" s="6" t="s">
        <v>73</v>
      </c>
      <c r="D16" s="59"/>
      <c r="F16" s="35"/>
      <c r="H16" s="51">
        <v>900</v>
      </c>
    </row>
    <row r="17" spans="1:8" ht="50.1" customHeight="1" thickBot="1">
      <c r="A17" s="5">
        <v>15</v>
      </c>
      <c r="B17" s="6" t="s">
        <v>74</v>
      </c>
      <c r="D17" s="59"/>
      <c r="F17" s="35"/>
      <c r="H17" s="51">
        <v>1000</v>
      </c>
    </row>
    <row r="18" spans="1:8" ht="50.1" customHeight="1" thickBot="1">
      <c r="A18" s="5">
        <v>16</v>
      </c>
      <c r="B18" s="6" t="s">
        <v>75</v>
      </c>
      <c r="D18" s="59"/>
      <c r="F18" s="35"/>
      <c r="H18" s="51">
        <v>180</v>
      </c>
    </row>
    <row r="19" spans="1:8" ht="50.1" customHeight="1" thickBot="1">
      <c r="A19" s="5">
        <v>17</v>
      </c>
      <c r="B19" s="6" t="s">
        <v>76</v>
      </c>
      <c r="D19" s="59"/>
      <c r="F19" s="35"/>
      <c r="H19" s="51">
        <v>310</v>
      </c>
    </row>
    <row r="20" spans="1:8" ht="50.1" customHeight="1" thickBot="1">
      <c r="A20" s="5">
        <v>18</v>
      </c>
      <c r="B20" s="6" t="s">
        <v>77</v>
      </c>
      <c r="D20" s="59"/>
      <c r="F20" s="35"/>
      <c r="H20" s="51">
        <v>540</v>
      </c>
    </row>
    <row r="21" spans="1:8" ht="50.1" customHeight="1" thickBot="1">
      <c r="A21" s="5">
        <v>19</v>
      </c>
      <c r="B21" s="6" t="s">
        <v>78</v>
      </c>
      <c r="D21" s="59"/>
      <c r="F21" s="35"/>
      <c r="H21" s="51">
        <v>290</v>
      </c>
    </row>
    <row r="22" spans="1:8" ht="50.1" customHeight="1" thickBot="1">
      <c r="A22" s="5">
        <v>20</v>
      </c>
      <c r="B22" s="6" t="s">
        <v>79</v>
      </c>
      <c r="D22" s="59"/>
      <c r="F22" s="35"/>
      <c r="H22" s="51">
        <v>80</v>
      </c>
    </row>
    <row r="23" spans="1:8" ht="50.1" customHeight="1" thickBot="1">
      <c r="A23" s="5">
        <v>21</v>
      </c>
      <c r="B23" s="6" t="s">
        <v>80</v>
      </c>
      <c r="D23" s="59"/>
      <c r="F23" s="35"/>
      <c r="H23" s="51">
        <v>300</v>
      </c>
    </row>
    <row r="24" spans="1:8" ht="50.1" customHeight="1" thickBot="1">
      <c r="A24" s="5">
        <v>22</v>
      </c>
      <c r="B24" s="6" t="s">
        <v>81</v>
      </c>
      <c r="D24" s="59"/>
      <c r="F24" s="35"/>
      <c r="H24" s="51">
        <v>900</v>
      </c>
    </row>
    <row r="25" spans="1:8" ht="50.1" customHeight="1" thickBot="1">
      <c r="A25" s="5">
        <v>23</v>
      </c>
      <c r="B25" s="6" t="s">
        <v>82</v>
      </c>
      <c r="D25" s="59"/>
      <c r="F25" s="35"/>
      <c r="H25" s="51">
        <v>600</v>
      </c>
    </row>
    <row r="26" spans="1:8" ht="50.1" customHeight="1" thickBot="1">
      <c r="A26" s="5">
        <v>24</v>
      </c>
      <c r="B26" s="6" t="s">
        <v>83</v>
      </c>
      <c r="D26" s="59"/>
      <c r="F26" s="35"/>
      <c r="H26" s="51">
        <v>400</v>
      </c>
    </row>
    <row r="27" spans="1:8" ht="50.1" customHeight="1" thickBot="1">
      <c r="A27" s="5">
        <v>25</v>
      </c>
      <c r="B27" s="6" t="s">
        <v>84</v>
      </c>
      <c r="D27" s="59"/>
      <c r="F27" s="35"/>
      <c r="H27" s="51">
        <v>800</v>
      </c>
    </row>
    <row r="28" spans="1:8" ht="50.1" customHeight="1" thickBot="1">
      <c r="A28" s="5">
        <v>26</v>
      </c>
      <c r="B28" s="6" t="s">
        <v>85</v>
      </c>
      <c r="D28" s="59"/>
      <c r="F28" s="35"/>
      <c r="H28" s="51">
        <v>185</v>
      </c>
    </row>
    <row r="29" spans="1:8" ht="50.1" customHeight="1" thickBot="1">
      <c r="A29" s="5">
        <v>27</v>
      </c>
      <c r="B29" s="6" t="s">
        <v>86</v>
      </c>
      <c r="D29" s="59"/>
      <c r="F29" s="35"/>
      <c r="H29" s="51">
        <v>360</v>
      </c>
    </row>
    <row r="30" spans="1:8" ht="50.1" customHeight="1" thickBot="1">
      <c r="A30" s="5">
        <v>28</v>
      </c>
      <c r="B30" s="6" t="s">
        <v>87</v>
      </c>
      <c r="D30" s="59"/>
      <c r="F30" s="35"/>
      <c r="H30" s="51">
        <v>450</v>
      </c>
    </row>
    <row r="31" spans="1:8" ht="50.1" customHeight="1" thickBot="1">
      <c r="A31" s="5">
        <v>29</v>
      </c>
      <c r="B31" s="6" t="s">
        <v>88</v>
      </c>
      <c r="D31" s="59"/>
      <c r="F31" s="35"/>
      <c r="H31" s="51">
        <v>610</v>
      </c>
    </row>
    <row r="32" spans="1:8" ht="50.1" customHeight="1" thickBot="1">
      <c r="A32" s="5">
        <v>30</v>
      </c>
      <c r="B32" s="6" t="s">
        <v>89</v>
      </c>
      <c r="D32" s="59"/>
      <c r="F32" s="35"/>
      <c r="H32" s="51">
        <v>740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2">
    <mergeCell ref="A1:J1"/>
    <mergeCell ref="A33:D33"/>
  </mergeCells>
  <conditionalFormatting sqref="F3:F32">
    <cfRule type="cellIs" dxfId="23" priority="9" operator="equal">
      <formula>"WELL DONE"</formula>
    </cfRule>
  </conditionalFormatting>
  <conditionalFormatting sqref="F33">
    <cfRule type="cellIs" dxfId="22" priority="8" operator="between">
      <formula>10</formula>
      <formula>20</formula>
    </cfRule>
  </conditionalFormatting>
  <conditionalFormatting sqref="K3:AI3 A1">
    <cfRule type="colorScale" priority="7">
      <colorScale>
        <cfvo type="min" val="0"/>
        <cfvo type="percentile" val="50"/>
        <cfvo type="max" val="0"/>
        <color rgb="FFF8696B"/>
        <color rgb="FFFCFCFF"/>
        <color rgb="FF5A8AC6"/>
      </colorScale>
    </cfRule>
  </conditionalFormatting>
  <conditionalFormatting sqref="F3:F32">
    <cfRule type="cellIs" dxfId="21" priority="6" operator="equal">
      <formula>"WELL DONE"</formula>
    </cfRule>
  </conditionalFormatting>
  <conditionalFormatting sqref="F3:F32">
    <cfRule type="cellIs" dxfId="20" priority="5" operator="equal">
      <formula>"WELL DONE"</formula>
    </cfRule>
  </conditionalFormatting>
  <conditionalFormatting sqref="F3:F32">
    <cfRule type="cellIs" dxfId="19" priority="4" operator="equal">
      <formula>"WELL DONE"</formula>
    </cfRule>
  </conditionalFormatting>
  <conditionalFormatting sqref="F32">
    <cfRule type="cellIs" dxfId="18" priority="3" operator="between">
      <formula>10</formula>
      <formula>20</formula>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4817" r:id="rId4" name="CommandButton1"/>
    <control shapeId="34818" r:id="rId5" name="CommandButton2"/>
  </controls>
</worksheet>
</file>

<file path=xl/worksheets/sheet19.xml><?xml version="1.0" encoding="utf-8"?>
<worksheet xmlns="http://schemas.openxmlformats.org/spreadsheetml/2006/main" xmlns:r="http://schemas.openxmlformats.org/officeDocument/2006/relationships">
  <sheetPr codeName="Sheet6">
    <tabColor rgb="FFFF9900"/>
  </sheetPr>
  <dimension ref="A1:AO34"/>
  <sheetViews>
    <sheetView workbookViewId="0">
      <pane ySplit="1" topLeftCell="A24" activePane="bottomLeft" state="frozen"/>
      <selection activeCell="H6" sqref="H6:H7"/>
      <selection pane="bottomLeft" activeCell="D31" sqref="D31"/>
    </sheetView>
  </sheetViews>
  <sheetFormatPr defaultRowHeight="15"/>
  <cols>
    <col min="2" max="2" width="33.140625" customWidth="1"/>
    <col min="3" max="3" width="0.5703125" customWidth="1"/>
    <col min="4" max="4" width="12.7109375" customWidth="1"/>
    <col min="5" max="5" width="1" customWidth="1"/>
    <col min="6" max="6" width="24.42578125" customWidth="1"/>
    <col min="7" max="7" width="1" customWidth="1"/>
    <col min="8" max="8" width="22.7109375" customWidth="1"/>
    <col min="10" max="10" width="32.5703125" customWidth="1"/>
    <col min="11" max="34" width="9.140625" hidden="1" customWidth="1"/>
    <col min="35" max="35" width="12.140625" hidden="1" customWidth="1"/>
  </cols>
  <sheetData>
    <row r="1" spans="1:41" ht="45.75">
      <c r="A1" s="96"/>
      <c r="B1" s="97"/>
      <c r="C1" s="97"/>
      <c r="D1" s="97"/>
      <c r="E1" s="97"/>
      <c r="F1" s="97"/>
      <c r="G1" s="97"/>
      <c r="H1" s="97"/>
      <c r="I1" s="97"/>
      <c r="J1" s="97"/>
      <c r="K1" s="47">
        <v>0.81739583333333332</v>
      </c>
    </row>
    <row r="2" spans="1:41" ht="23.25" customHeight="1" thickBot="1"/>
    <row r="3" spans="1:41" ht="50.25" customHeight="1" thickBot="1">
      <c r="A3" s="5">
        <v>1</v>
      </c>
      <c r="B3" s="6" t="s">
        <v>90</v>
      </c>
      <c r="D3" s="59"/>
      <c r="F3" s="1"/>
      <c r="H3" s="43">
        <v>1800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41" ht="50.1" customHeight="1" thickBot="1">
      <c r="A4" s="5">
        <v>2</v>
      </c>
      <c r="B4" s="6" t="s">
        <v>91</v>
      </c>
      <c r="D4" s="59"/>
      <c r="F4" s="1"/>
      <c r="H4" s="44">
        <v>1350</v>
      </c>
    </row>
    <row r="5" spans="1:41" ht="50.1" customHeight="1" thickBot="1">
      <c r="A5" s="5">
        <v>3</v>
      </c>
      <c r="B5" s="6" t="s">
        <v>92</v>
      </c>
      <c r="D5" s="59"/>
      <c r="F5" s="1"/>
      <c r="H5" s="44">
        <v>1700</v>
      </c>
    </row>
    <row r="6" spans="1:41" ht="50.1" customHeight="1" thickBot="1">
      <c r="A6" s="5">
        <v>4</v>
      </c>
      <c r="B6" s="6" t="s">
        <v>93</v>
      </c>
      <c r="D6" s="59"/>
      <c r="F6" s="1"/>
      <c r="H6" s="44">
        <v>2690</v>
      </c>
    </row>
    <row r="7" spans="1:41" ht="50.1" customHeight="1" thickBot="1">
      <c r="A7" s="5">
        <v>5</v>
      </c>
      <c r="B7" s="6" t="s">
        <v>94</v>
      </c>
      <c r="D7" s="59"/>
      <c r="F7" s="1"/>
      <c r="H7" s="44">
        <v>1880</v>
      </c>
    </row>
    <row r="8" spans="1:41" ht="50.1" customHeight="1" thickBot="1">
      <c r="A8" s="5">
        <v>6</v>
      </c>
      <c r="B8" s="6" t="s">
        <v>95</v>
      </c>
      <c r="D8" s="59"/>
      <c r="F8" s="1"/>
      <c r="H8" s="44">
        <v>2940</v>
      </c>
    </row>
    <row r="9" spans="1:41" ht="50.1" customHeight="1" thickBot="1">
      <c r="A9" s="5">
        <v>7</v>
      </c>
      <c r="B9" s="6" t="s">
        <v>96</v>
      </c>
      <c r="D9" s="59"/>
      <c r="F9" s="1"/>
      <c r="H9" s="44">
        <v>2820</v>
      </c>
    </row>
    <row r="10" spans="1:41" ht="50.1" customHeight="1" thickBot="1">
      <c r="A10" s="5">
        <v>8</v>
      </c>
      <c r="B10" s="6" t="s">
        <v>97</v>
      </c>
      <c r="D10" s="59"/>
      <c r="F10" s="1"/>
      <c r="H10" s="44">
        <v>9880</v>
      </c>
    </row>
    <row r="11" spans="1:41" ht="50.1" customHeight="1" thickBot="1">
      <c r="A11" s="5">
        <v>9</v>
      </c>
      <c r="B11" s="6" t="s">
        <v>98</v>
      </c>
      <c r="D11" s="59"/>
      <c r="F11" s="1"/>
      <c r="H11" s="44">
        <v>7930</v>
      </c>
    </row>
    <row r="12" spans="1:41" ht="50.1" customHeight="1" thickBot="1">
      <c r="A12" s="5">
        <v>10</v>
      </c>
      <c r="B12" s="6" t="s">
        <v>99</v>
      </c>
      <c r="D12" s="59"/>
      <c r="F12" s="1"/>
      <c r="H12" s="44">
        <v>6500</v>
      </c>
    </row>
    <row r="13" spans="1:41" ht="50.1" customHeight="1" thickBot="1">
      <c r="A13" s="5">
        <v>11</v>
      </c>
      <c r="B13" s="6" t="s">
        <v>100</v>
      </c>
      <c r="D13" s="59"/>
      <c r="F13" s="1"/>
      <c r="H13" s="44">
        <v>5350</v>
      </c>
      <c r="AO13" s="25"/>
    </row>
    <row r="14" spans="1:41" ht="50.1" customHeight="1" thickBot="1">
      <c r="A14" s="5">
        <v>12</v>
      </c>
      <c r="B14" s="6" t="s">
        <v>101</v>
      </c>
      <c r="D14" s="59"/>
      <c r="F14" s="1"/>
      <c r="H14" s="44">
        <v>4120</v>
      </c>
    </row>
    <row r="15" spans="1:41" ht="50.1" customHeight="1" thickBot="1">
      <c r="A15" s="5">
        <v>13</v>
      </c>
      <c r="B15" s="6" t="s">
        <v>102</v>
      </c>
      <c r="D15" s="59"/>
      <c r="F15" s="1"/>
      <c r="H15" s="44">
        <v>3590</v>
      </c>
    </row>
    <row r="16" spans="1:41" ht="50.1" customHeight="1" thickBot="1">
      <c r="A16" s="5">
        <v>14</v>
      </c>
      <c r="B16" s="6" t="s">
        <v>103</v>
      </c>
      <c r="D16" s="59"/>
      <c r="F16" s="1"/>
      <c r="H16" s="44">
        <v>8200</v>
      </c>
    </row>
    <row r="17" spans="1:8" ht="50.1" customHeight="1" thickBot="1">
      <c r="A17" s="5">
        <v>15</v>
      </c>
      <c r="B17" s="6" t="s">
        <v>104</v>
      </c>
      <c r="D17" s="59"/>
      <c r="F17" s="1"/>
      <c r="H17" s="44">
        <v>6050</v>
      </c>
    </row>
    <row r="18" spans="1:8" ht="50.1" customHeight="1" thickBot="1">
      <c r="A18" s="5">
        <v>16</v>
      </c>
      <c r="B18" s="6" t="s">
        <v>105</v>
      </c>
      <c r="D18" s="59"/>
      <c r="F18" s="1"/>
      <c r="H18" s="44">
        <v>7490</v>
      </c>
    </row>
    <row r="19" spans="1:8" ht="50.1" customHeight="1" thickBot="1">
      <c r="A19" s="5">
        <v>17</v>
      </c>
      <c r="B19" s="6" t="s">
        <v>106</v>
      </c>
      <c r="D19" s="59"/>
      <c r="F19" s="1"/>
      <c r="H19" s="44">
        <v>3270</v>
      </c>
    </row>
    <row r="20" spans="1:8" ht="50.1" customHeight="1" thickBot="1">
      <c r="A20" s="5">
        <v>18</v>
      </c>
      <c r="B20" s="6" t="s">
        <v>107</v>
      </c>
      <c r="D20" s="59"/>
      <c r="F20" s="1"/>
      <c r="H20" s="44">
        <v>1880</v>
      </c>
    </row>
    <row r="21" spans="1:8" ht="50.1" customHeight="1" thickBot="1">
      <c r="A21" s="5">
        <v>19</v>
      </c>
      <c r="B21" s="6" t="s">
        <v>108</v>
      </c>
      <c r="D21" s="59"/>
      <c r="F21" s="1"/>
      <c r="H21" s="44">
        <v>4290</v>
      </c>
    </row>
    <row r="22" spans="1:8" ht="50.1" customHeight="1" thickBot="1">
      <c r="A22" s="5">
        <v>20</v>
      </c>
      <c r="B22" s="6" t="s">
        <v>109</v>
      </c>
      <c r="D22" s="59"/>
      <c r="F22" s="1"/>
      <c r="H22" s="44">
        <v>1170</v>
      </c>
    </row>
    <row r="23" spans="1:8" ht="50.1" customHeight="1" thickBot="1">
      <c r="A23" s="5">
        <v>21</v>
      </c>
      <c r="B23" s="6" t="s">
        <v>110</v>
      </c>
      <c r="D23" s="59"/>
      <c r="F23" s="1"/>
      <c r="H23" s="44">
        <v>8850</v>
      </c>
    </row>
    <row r="24" spans="1:8" ht="50.1" customHeight="1" thickBot="1">
      <c r="A24" s="5">
        <v>22</v>
      </c>
      <c r="B24" s="6" t="s">
        <v>111</v>
      </c>
      <c r="D24" s="59"/>
      <c r="F24" s="1"/>
      <c r="H24" s="44">
        <v>2300</v>
      </c>
    </row>
    <row r="25" spans="1:8" ht="50.1" customHeight="1" thickBot="1">
      <c r="A25" s="5">
        <v>23</v>
      </c>
      <c r="B25" s="6" t="s">
        <v>112</v>
      </c>
      <c r="D25" s="59"/>
      <c r="F25" s="1"/>
      <c r="H25" s="44">
        <v>1630</v>
      </c>
    </row>
    <row r="26" spans="1:8" ht="50.1" customHeight="1" thickBot="1">
      <c r="A26" s="5">
        <v>24</v>
      </c>
      <c r="B26" s="6" t="s">
        <v>113</v>
      </c>
      <c r="D26" s="59"/>
      <c r="F26" s="1"/>
      <c r="H26" s="44">
        <v>3450</v>
      </c>
    </row>
    <row r="27" spans="1:8" ht="50.1" customHeight="1" thickBot="1">
      <c r="A27" s="5">
        <v>25</v>
      </c>
      <c r="B27" s="6" t="s">
        <v>114</v>
      </c>
      <c r="D27" s="59"/>
      <c r="F27" s="1"/>
      <c r="H27" s="44">
        <v>1750</v>
      </c>
    </row>
    <row r="28" spans="1:8" ht="50.1" customHeight="1" thickBot="1">
      <c r="A28" s="5">
        <v>26</v>
      </c>
      <c r="B28" s="6" t="s">
        <v>115</v>
      </c>
      <c r="D28" s="59"/>
      <c r="F28" s="1"/>
      <c r="H28" s="44">
        <v>1461</v>
      </c>
    </row>
    <row r="29" spans="1:8" ht="50.1" customHeight="1" thickBot="1">
      <c r="A29" s="5">
        <v>27</v>
      </c>
      <c r="B29" s="6" t="s">
        <v>116</v>
      </c>
      <c r="D29" s="59"/>
      <c r="F29" s="1"/>
      <c r="H29" s="44">
        <v>2401</v>
      </c>
    </row>
    <row r="30" spans="1:8" ht="50.1" customHeight="1" thickBot="1">
      <c r="A30" s="5">
        <v>28</v>
      </c>
      <c r="B30" s="6" t="s">
        <v>117</v>
      </c>
      <c r="D30" s="59"/>
      <c r="F30" s="1"/>
      <c r="H30" s="44">
        <v>3135</v>
      </c>
    </row>
    <row r="31" spans="1:8" ht="50.1" customHeight="1" thickBot="1">
      <c r="A31" s="5">
        <v>29</v>
      </c>
      <c r="B31" s="6" t="s">
        <v>118</v>
      </c>
      <c r="D31" s="59"/>
      <c r="F31" s="1"/>
      <c r="H31" s="44">
        <v>1510</v>
      </c>
    </row>
    <row r="32" spans="1:8" ht="50.1" customHeight="1" thickBot="1">
      <c r="A32" s="5">
        <v>30</v>
      </c>
      <c r="B32" s="6" t="s">
        <v>119</v>
      </c>
      <c r="D32" s="59"/>
      <c r="F32" s="1"/>
      <c r="H32" s="44">
        <v>4293</v>
      </c>
    </row>
    <row r="33" spans="1:6" ht="54" customHeight="1" thickBot="1">
      <c r="A33" s="91" t="s">
        <v>0</v>
      </c>
      <c r="B33" s="92"/>
      <c r="C33" s="92"/>
      <c r="D33" s="93"/>
      <c r="F33" s="2" t="str">
        <f>IF(F3="", "",COUNTIF(F3:F32,"WELL DONE"))</f>
        <v/>
      </c>
    </row>
    <row r="34" spans="1:6" ht="3" customHeight="1"/>
  </sheetData>
  <sheetProtection password="CC6E" sheet="1" objects="1" scenarios="1" selectLockedCells="1"/>
  <mergeCells count="2">
    <mergeCell ref="A1:J1"/>
    <mergeCell ref="A33:D33"/>
  </mergeCells>
  <conditionalFormatting sqref="F3:F32">
    <cfRule type="cellIs" dxfId="17" priority="9" operator="equal">
      <formula>"WELL DONE"</formula>
    </cfRule>
  </conditionalFormatting>
  <conditionalFormatting sqref="F33">
    <cfRule type="cellIs" dxfId="16" priority="8" operator="between">
      <formula>10</formula>
      <formula>20</formula>
    </cfRule>
  </conditionalFormatting>
  <conditionalFormatting sqref="K3:AI3 A1">
    <cfRule type="colorScale" priority="7">
      <colorScale>
        <cfvo type="min" val="0"/>
        <cfvo type="percentile" val="50"/>
        <cfvo type="max" val="0"/>
        <color rgb="FFF8696B"/>
        <color rgb="FFFCFCFF"/>
        <color rgb="FF5A8AC6"/>
      </colorScale>
    </cfRule>
  </conditionalFormatting>
  <conditionalFormatting sqref="F3:F32">
    <cfRule type="cellIs" dxfId="15" priority="6" operator="equal">
      <formula>"WELL DONE"</formula>
    </cfRule>
  </conditionalFormatting>
  <conditionalFormatting sqref="F3:F32">
    <cfRule type="cellIs" dxfId="14" priority="5" operator="equal">
      <formula>"WELL DONE"</formula>
    </cfRule>
  </conditionalFormatting>
  <conditionalFormatting sqref="F3:F32">
    <cfRule type="cellIs" dxfId="13" priority="4" operator="equal">
      <formula>"WELL DONE"</formula>
    </cfRule>
  </conditionalFormatting>
  <conditionalFormatting sqref="F32">
    <cfRule type="cellIs" dxfId="12" priority="3" operator="between">
      <formula>10</formula>
      <formula>20</formula>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5841" r:id="rId4" name="CommandButton1"/>
    <control shapeId="35842" r:id="rId5" name="CommandButton2"/>
  </controls>
</worksheet>
</file>

<file path=xl/worksheets/sheet20.xml><?xml version="1.0" encoding="utf-8"?>
<worksheet xmlns="http://schemas.openxmlformats.org/spreadsheetml/2006/main" xmlns:r="http://schemas.openxmlformats.org/officeDocument/2006/relationships">
  <sheetPr codeName="Sheet7">
    <tabColor rgb="FF7030A0"/>
  </sheetPr>
  <dimension ref="A1:AI34"/>
  <sheetViews>
    <sheetView workbookViewId="0">
      <pane ySplit="1" topLeftCell="A2" activePane="bottomLeft" state="frozen"/>
      <selection activeCell="H6" sqref="H6:H7"/>
      <selection pane="bottomLeft" activeCell="D26" sqref="D26"/>
    </sheetView>
  </sheetViews>
  <sheetFormatPr defaultRowHeight="15"/>
  <cols>
    <col min="1" max="1" width="9.140625" style="25"/>
    <col min="2" max="2" width="22.7109375" style="25" customWidth="1"/>
    <col min="3" max="3" width="0.5703125" style="25" customWidth="1"/>
    <col min="4" max="4" width="12.7109375" style="25" customWidth="1"/>
    <col min="5" max="5" width="1" style="25" customWidth="1"/>
    <col min="6" max="6" width="24.42578125" style="25" customWidth="1"/>
    <col min="7" max="7" width="1" style="25" customWidth="1"/>
    <col min="8" max="8" width="22.7109375" style="42" customWidth="1"/>
    <col min="9" max="9" width="5" style="25" customWidth="1"/>
    <col min="10" max="10" width="32.5703125" style="25" customWidth="1"/>
    <col min="11" max="34" width="9.140625" style="25" hidden="1" customWidth="1"/>
    <col min="35" max="35" width="12.140625" style="25" hidden="1" customWidth="1"/>
    <col min="36" max="16384" width="9.140625" style="25"/>
  </cols>
  <sheetData>
    <row r="1" spans="1:35" ht="45.75">
      <c r="A1" s="94"/>
      <c r="B1" s="95"/>
      <c r="C1" s="95"/>
      <c r="D1" s="95"/>
      <c r="E1" s="95"/>
      <c r="F1" s="95"/>
      <c r="G1" s="95"/>
      <c r="H1" s="95"/>
      <c r="I1" s="95"/>
      <c r="J1" s="95"/>
      <c r="K1" s="46">
        <v>0.82166666666666666</v>
      </c>
    </row>
    <row r="2" spans="1:35" ht="30" customHeight="1" thickBot="1">
      <c r="A2" s="105" t="s">
        <v>120</v>
      </c>
      <c r="B2" s="105"/>
      <c r="C2" s="105"/>
      <c r="D2" s="105"/>
      <c r="E2" s="105"/>
      <c r="F2" s="105"/>
      <c r="G2" s="105"/>
      <c r="H2" s="105"/>
    </row>
    <row r="3" spans="1:35" ht="50.25" customHeight="1" thickBot="1">
      <c r="A3" s="5">
        <v>1</v>
      </c>
      <c r="B3" s="6">
        <v>1326</v>
      </c>
      <c r="D3" s="59"/>
      <c r="F3" s="35"/>
      <c r="H3" s="50">
        <v>1330</v>
      </c>
      <c r="K3" s="36">
        <v>3.8194444444444443E-3</v>
      </c>
      <c r="L3" s="36">
        <f>K3-$AH$3</f>
        <v>3.7037037037036965E-3</v>
      </c>
      <c r="M3" s="36">
        <f>L3-$AH$3</f>
        <v>3.5879629629629486E-3</v>
      </c>
      <c r="N3" s="36">
        <f t="shared" ref="N3:AG3" si="0">M3-$AH$3</f>
        <v>3.4722222222222008E-3</v>
      </c>
      <c r="O3" s="36">
        <f t="shared" si="0"/>
        <v>3.3564814814814529E-3</v>
      </c>
      <c r="P3" s="36">
        <f t="shared" si="0"/>
        <v>3.2407407407407051E-3</v>
      </c>
      <c r="Q3" s="36">
        <f t="shared" si="0"/>
        <v>3.1249999999999572E-3</v>
      </c>
      <c r="R3" s="36">
        <f t="shared" si="0"/>
        <v>3.0092592592592094E-3</v>
      </c>
      <c r="S3" s="36">
        <f t="shared" si="0"/>
        <v>2.8935185185184615E-3</v>
      </c>
      <c r="T3" s="36">
        <f t="shared" si="0"/>
        <v>2.7777777777777137E-3</v>
      </c>
      <c r="U3" s="36">
        <f t="shared" si="0"/>
        <v>2.6620370370369659E-3</v>
      </c>
      <c r="V3" s="36">
        <f t="shared" si="0"/>
        <v>2.546296296296218E-3</v>
      </c>
      <c r="W3" s="36">
        <f t="shared" si="0"/>
        <v>2.4305555555554702E-3</v>
      </c>
      <c r="X3" s="36">
        <f t="shared" si="0"/>
        <v>2.3148148148147223E-3</v>
      </c>
      <c r="Y3" s="36">
        <f t="shared" si="0"/>
        <v>2.1990740740739745E-3</v>
      </c>
      <c r="Z3" s="36">
        <f t="shared" si="0"/>
        <v>2.0833333333332266E-3</v>
      </c>
      <c r="AA3" s="36">
        <f t="shared" si="0"/>
        <v>1.9675925925924788E-3</v>
      </c>
      <c r="AB3" s="36">
        <f t="shared" si="0"/>
        <v>1.8518518518517307E-3</v>
      </c>
      <c r="AC3" s="36">
        <f t="shared" si="0"/>
        <v>1.7361111111109826E-3</v>
      </c>
      <c r="AD3" s="36">
        <f t="shared" si="0"/>
        <v>1.6203703703702346E-3</v>
      </c>
      <c r="AE3" s="36">
        <f t="shared" si="0"/>
        <v>1.5046296296294865E-3</v>
      </c>
      <c r="AF3" s="36">
        <f t="shared" si="0"/>
        <v>1.3888888888887385E-3</v>
      </c>
      <c r="AG3" s="36">
        <f t="shared" si="0"/>
        <v>1.2731481481479904E-3</v>
      </c>
      <c r="AH3" s="36">
        <v>1.15740740740748E-4</v>
      </c>
      <c r="AI3" s="36">
        <v>7.8062556418956304E-18</v>
      </c>
    </row>
    <row r="4" spans="1:35" ht="50.1" customHeight="1" thickBot="1">
      <c r="A4" s="5">
        <v>2</v>
      </c>
      <c r="B4" s="6">
        <v>2544</v>
      </c>
      <c r="D4" s="59"/>
      <c r="F4" s="35"/>
      <c r="H4" s="51">
        <v>2540</v>
      </c>
    </row>
    <row r="5" spans="1:35" ht="50.1" customHeight="1" thickBot="1">
      <c r="A5" s="5">
        <v>3</v>
      </c>
      <c r="B5" s="6">
        <v>3871</v>
      </c>
      <c r="D5" s="59"/>
      <c r="F5" s="35"/>
      <c r="H5" s="51">
        <v>3870</v>
      </c>
    </row>
    <row r="6" spans="1:35" ht="50.1" customHeight="1" thickBot="1">
      <c r="A6" s="5">
        <v>4</v>
      </c>
      <c r="B6" s="6">
        <v>4653</v>
      </c>
      <c r="D6" s="59"/>
      <c r="F6" s="35"/>
      <c r="H6" s="51">
        <v>4650</v>
      </c>
    </row>
    <row r="7" spans="1:35" ht="50.1" customHeight="1" thickBot="1">
      <c r="A7" s="5">
        <v>5</v>
      </c>
      <c r="B7" s="6">
        <v>5738</v>
      </c>
      <c r="D7" s="59"/>
      <c r="F7" s="35"/>
      <c r="H7" s="51">
        <v>5740</v>
      </c>
    </row>
    <row r="8" spans="1:35" ht="50.1" customHeight="1" thickBot="1">
      <c r="A8" s="5">
        <v>6</v>
      </c>
      <c r="B8" s="6">
        <v>6462</v>
      </c>
      <c r="D8" s="59"/>
      <c r="F8" s="35"/>
      <c r="H8" s="51">
        <v>6460</v>
      </c>
    </row>
    <row r="9" spans="1:35" ht="50.1" customHeight="1" thickBot="1">
      <c r="A9" s="5">
        <v>7</v>
      </c>
      <c r="B9" s="6">
        <v>7125</v>
      </c>
      <c r="D9" s="59"/>
      <c r="F9" s="35"/>
      <c r="H9" s="51">
        <v>7130</v>
      </c>
    </row>
    <row r="10" spans="1:35" ht="50.1" customHeight="1" thickBot="1">
      <c r="A10" s="5">
        <v>8</v>
      </c>
      <c r="B10" s="6">
        <v>8947</v>
      </c>
      <c r="D10" s="59"/>
      <c r="F10" s="35"/>
      <c r="H10" s="51">
        <v>8950</v>
      </c>
    </row>
    <row r="11" spans="1:35" ht="50.1" customHeight="1" thickBot="1">
      <c r="B11" s="106" t="s">
        <v>121</v>
      </c>
      <c r="C11" s="107"/>
      <c r="D11" s="107"/>
      <c r="E11" s="107"/>
      <c r="F11" s="107"/>
      <c r="G11" s="107"/>
      <c r="H11" s="108"/>
    </row>
    <row r="12" spans="1:35" ht="50.1" customHeight="1" thickBot="1">
      <c r="A12" s="5">
        <v>9</v>
      </c>
      <c r="B12" s="6">
        <v>1326</v>
      </c>
      <c r="D12" s="59"/>
      <c r="F12" s="35"/>
      <c r="H12" s="51">
        <v>1300</v>
      </c>
    </row>
    <row r="13" spans="1:35" ht="50.1" customHeight="1" thickBot="1">
      <c r="A13" s="5">
        <v>10</v>
      </c>
      <c r="B13" s="6">
        <v>2544</v>
      </c>
      <c r="D13" s="59"/>
      <c r="F13" s="35"/>
      <c r="H13" s="51">
        <v>2500</v>
      </c>
    </row>
    <row r="14" spans="1:35" ht="50.1" customHeight="1" thickBot="1">
      <c r="A14" s="5">
        <v>11</v>
      </c>
      <c r="B14" s="6">
        <v>3871</v>
      </c>
      <c r="D14" s="59"/>
      <c r="F14" s="35"/>
      <c r="H14" s="51">
        <v>3900</v>
      </c>
    </row>
    <row r="15" spans="1:35" ht="50.1" customHeight="1" thickBot="1">
      <c r="A15" s="5">
        <v>12</v>
      </c>
      <c r="B15" s="6">
        <v>4653</v>
      </c>
      <c r="D15" s="59"/>
      <c r="F15" s="35"/>
      <c r="H15" s="51">
        <v>4700</v>
      </c>
    </row>
    <row r="16" spans="1:35" ht="50.1" customHeight="1" thickBot="1">
      <c r="A16" s="5">
        <v>13</v>
      </c>
      <c r="B16" s="6">
        <v>5738</v>
      </c>
      <c r="D16" s="59"/>
      <c r="F16" s="35"/>
      <c r="H16" s="51">
        <v>5700</v>
      </c>
    </row>
    <row r="17" spans="1:8" ht="50.1" customHeight="1" thickBot="1">
      <c r="A17" s="5">
        <v>14</v>
      </c>
      <c r="B17" s="6">
        <v>6462</v>
      </c>
      <c r="D17" s="59"/>
      <c r="F17" s="35"/>
      <c r="H17" s="51">
        <v>6500</v>
      </c>
    </row>
    <row r="18" spans="1:8" ht="50.1" customHeight="1" thickBot="1">
      <c r="A18" s="5">
        <v>15</v>
      </c>
      <c r="B18" s="6">
        <v>7125</v>
      </c>
      <c r="D18" s="59"/>
      <c r="F18" s="35"/>
      <c r="H18" s="51">
        <v>7100</v>
      </c>
    </row>
    <row r="19" spans="1:8" ht="50.1" customHeight="1" thickBot="1">
      <c r="A19" s="5">
        <v>16</v>
      </c>
      <c r="B19" s="6">
        <v>8947</v>
      </c>
      <c r="D19" s="59"/>
      <c r="F19" s="35"/>
      <c r="H19" s="51">
        <v>8900</v>
      </c>
    </row>
    <row r="20" spans="1:8" ht="50.1" customHeight="1" thickBot="1">
      <c r="B20" s="106" t="s">
        <v>122</v>
      </c>
      <c r="C20" s="107"/>
      <c r="D20" s="107"/>
      <c r="E20" s="107"/>
      <c r="F20" s="107"/>
      <c r="G20" s="107"/>
      <c r="H20" s="108"/>
    </row>
    <row r="21" spans="1:8" ht="50.1" customHeight="1" thickBot="1">
      <c r="A21" s="5">
        <v>17</v>
      </c>
      <c r="B21" s="6">
        <v>1326</v>
      </c>
      <c r="D21" s="59"/>
      <c r="F21" s="35"/>
      <c r="H21" s="51">
        <v>1000</v>
      </c>
    </row>
    <row r="22" spans="1:8" ht="50.1" customHeight="1" thickBot="1">
      <c r="A22" s="5">
        <v>18</v>
      </c>
      <c r="B22" s="6">
        <v>2544</v>
      </c>
      <c r="D22" s="59"/>
      <c r="F22" s="35"/>
      <c r="H22" s="51">
        <v>3000</v>
      </c>
    </row>
    <row r="23" spans="1:8" ht="50.1" customHeight="1" thickBot="1">
      <c r="A23" s="5">
        <v>19</v>
      </c>
      <c r="B23" s="6">
        <v>3871</v>
      </c>
      <c r="D23" s="59"/>
      <c r="F23" s="35"/>
      <c r="H23" s="51">
        <v>4000</v>
      </c>
    </row>
    <row r="24" spans="1:8" ht="50.1" customHeight="1" thickBot="1">
      <c r="A24" s="5">
        <v>20</v>
      </c>
      <c r="B24" s="6">
        <v>4653</v>
      </c>
      <c r="D24" s="59"/>
      <c r="F24" s="35"/>
      <c r="H24" s="51">
        <v>5000</v>
      </c>
    </row>
    <row r="25" spans="1:8" ht="50.1" customHeight="1" thickBot="1">
      <c r="A25" s="5">
        <v>21</v>
      </c>
      <c r="B25" s="6">
        <v>5738</v>
      </c>
      <c r="D25" s="59"/>
      <c r="F25" s="35"/>
      <c r="H25" s="51">
        <v>6000</v>
      </c>
    </row>
    <row r="26" spans="1:8" ht="50.1" customHeight="1" thickBot="1">
      <c r="A26" s="5">
        <v>22</v>
      </c>
      <c r="B26" s="6">
        <v>6462</v>
      </c>
      <c r="D26" s="59"/>
      <c r="F26" s="35"/>
      <c r="H26" s="51">
        <v>6000</v>
      </c>
    </row>
    <row r="27" spans="1:8" ht="50.1" customHeight="1" thickBot="1">
      <c r="A27" s="5">
        <v>23</v>
      </c>
      <c r="B27" s="6">
        <v>7125</v>
      </c>
      <c r="D27" s="59"/>
      <c r="F27" s="35"/>
      <c r="H27" s="51">
        <v>7000</v>
      </c>
    </row>
    <row r="28" spans="1:8" ht="50.1" customHeight="1" thickBot="1">
      <c r="A28" s="5">
        <v>24</v>
      </c>
      <c r="B28" s="6">
        <v>8947</v>
      </c>
      <c r="D28" s="59"/>
      <c r="F28" s="35"/>
      <c r="H28" s="51">
        <v>9000</v>
      </c>
    </row>
    <row r="29" spans="1:8" ht="50.1" customHeight="1" thickBot="1">
      <c r="A29" s="5">
        <v>25</v>
      </c>
      <c r="B29" s="6">
        <v>8254</v>
      </c>
      <c r="D29" s="59"/>
      <c r="F29" s="35"/>
      <c r="H29" s="51">
        <v>8000</v>
      </c>
    </row>
    <row r="30" spans="1:8" ht="50.1" customHeight="1" thickBot="1">
      <c r="A30" s="5">
        <v>26</v>
      </c>
      <c r="B30" s="6">
        <v>8000</v>
      </c>
      <c r="D30" s="59"/>
      <c r="F30" s="35"/>
      <c r="H30" s="51">
        <v>8000</v>
      </c>
    </row>
    <row r="31" spans="1:8" ht="50.1" customHeight="1" thickBot="1">
      <c r="A31" s="5">
        <v>27</v>
      </c>
      <c r="B31" s="6">
        <v>8600</v>
      </c>
      <c r="D31" s="59"/>
      <c r="F31" s="35"/>
      <c r="H31" s="51">
        <v>9000</v>
      </c>
    </row>
    <row r="32" spans="1:8" ht="50.1" customHeight="1" thickBot="1">
      <c r="A32" s="5">
        <v>28</v>
      </c>
      <c r="B32" s="6">
        <v>8100</v>
      </c>
      <c r="D32" s="59"/>
      <c r="F32" s="35"/>
      <c r="H32" s="51">
        <v>8000</v>
      </c>
    </row>
    <row r="33" spans="1:6" ht="54" customHeight="1" thickBot="1">
      <c r="A33" s="91" t="s">
        <v>0</v>
      </c>
      <c r="B33" s="92"/>
      <c r="C33" s="92"/>
      <c r="D33" s="93"/>
      <c r="F33" s="26" t="str">
        <f>IF(F3="", "",COUNTIF(F3:F32,"WELL DONE"))</f>
        <v/>
      </c>
    </row>
    <row r="34" spans="1:6" ht="3" customHeight="1"/>
  </sheetData>
  <sheetProtection password="CC6E" sheet="1" objects="1" scenarios="1" selectLockedCells="1"/>
  <mergeCells count="5">
    <mergeCell ref="A1:J1"/>
    <mergeCell ref="A33:D33"/>
    <mergeCell ref="A2:H2"/>
    <mergeCell ref="B11:H11"/>
    <mergeCell ref="B20:H20"/>
  </mergeCells>
  <conditionalFormatting sqref="F3:F10 F12:F19 F21:F32">
    <cfRule type="cellIs" dxfId="11" priority="9" operator="equal">
      <formula>"WELL DONE"</formula>
    </cfRule>
  </conditionalFormatting>
  <conditionalFormatting sqref="F32:F33">
    <cfRule type="cellIs" dxfId="10" priority="8" operator="between">
      <formula>10</formula>
      <formula>20</formula>
    </cfRule>
  </conditionalFormatting>
  <conditionalFormatting sqref="K3:AI3 A1">
    <cfRule type="colorScale" priority="7">
      <colorScale>
        <cfvo type="min" val="0"/>
        <cfvo type="percentile" val="50"/>
        <cfvo type="max" val="0"/>
        <color rgb="FFF8696B"/>
        <color rgb="FFFCFCFF"/>
        <color rgb="FF5A8AC6"/>
      </colorScale>
    </cfRule>
  </conditionalFormatting>
  <conditionalFormatting sqref="K3:AI3">
    <cfRule type="colorScale" priority="2">
      <colorScale>
        <cfvo type="min" val="0"/>
        <cfvo type="percentile" val="50"/>
        <cfvo type="max" val="0"/>
        <color rgb="FFF8696B"/>
        <color rgb="FFFCFCFF"/>
        <color rgb="FF5A8AC6"/>
      </colorScale>
    </cfRule>
  </conditionalFormatting>
  <conditionalFormatting sqref="K3:AI3">
    <cfRule type="colorScale" priority="1">
      <colorScale>
        <cfvo type="num" val="0"/>
        <cfvo type="percentile" val="50"/>
        <cfvo type="max" val="0"/>
        <color rgb="FFF8696B"/>
        <color rgb="FFFCFCFF"/>
        <color rgb="FF5A8AC6"/>
      </colorScale>
    </cfRule>
  </conditionalFormatting>
  <printOptions horizontalCentered="1"/>
  <pageMargins left="0.11811023622047245" right="0" top="0.15748031496062992" bottom="0.15748031496062992" header="0.31496062992125984" footer="0.31496062992125984"/>
  <pageSetup paperSize="8" orientation="portrait" r:id="rId1"/>
  <drawing r:id="rId2"/>
  <legacyDrawing r:id="rId3"/>
  <controls>
    <control shapeId="36865" r:id="rId4" name="CommandButton1"/>
    <control shapeId="36866" r:id="rId5" name="CommandButton2"/>
  </controls>
</worksheet>
</file>

<file path=xl/worksheets/sheet21.xml><?xml version="1.0" encoding="utf-8"?>
<worksheet xmlns="http://schemas.openxmlformats.org/spreadsheetml/2006/main" xmlns:r="http://schemas.openxmlformats.org/officeDocument/2006/relationships">
  <sheetPr codeName="Sheet23">
    <tabColor rgb="FF009900"/>
  </sheetPr>
  <dimension ref="A1:J11"/>
  <sheetViews>
    <sheetView workbookViewId="0">
      <selection activeCell="J5" sqref="J5"/>
    </sheetView>
  </sheetViews>
  <sheetFormatPr defaultRowHeight="15"/>
  <cols>
    <col min="1" max="1" width="5.85546875" customWidth="1"/>
    <col min="2" max="2" width="69.85546875" customWidth="1"/>
    <col min="3" max="3" width="0.7109375" customWidth="1"/>
    <col min="4" max="4" width="13" customWidth="1"/>
    <col min="5" max="5" width="1" customWidth="1"/>
    <col min="6" max="6" width="23.42578125" customWidth="1"/>
    <col min="7" max="7" width="1" customWidth="1"/>
    <col min="8" max="8" width="65.42578125" customWidth="1"/>
    <col min="9" max="9" width="0.5703125" customWidth="1"/>
    <col min="10" max="10" width="23.28515625" bestFit="1" customWidth="1"/>
  </cols>
  <sheetData>
    <row r="1" spans="1:10" ht="169.5" customHeight="1" thickBot="1">
      <c r="A1" s="109" t="s">
        <v>25</v>
      </c>
      <c r="B1" s="109"/>
      <c r="C1" s="109"/>
      <c r="D1" s="109"/>
      <c r="E1" s="109"/>
      <c r="F1" s="109"/>
      <c r="G1" s="109"/>
      <c r="H1" s="109"/>
    </row>
    <row r="2" spans="1:10" ht="39.75" customHeight="1" thickBot="1">
      <c r="A2" s="5">
        <v>1</v>
      </c>
      <c r="B2" s="15" t="s">
        <v>18</v>
      </c>
      <c r="D2" s="16" t="s">
        <v>28</v>
      </c>
      <c r="F2" s="18" t="str">
        <f>IF(D2="","",IF(D2="D","WELL DONE",IF(D2="C","TRY AGAIN",IF(D2="B","NO","X"))))</f>
        <v>WELL DONE</v>
      </c>
      <c r="H2" s="20" t="s">
        <v>26</v>
      </c>
    </row>
    <row r="3" spans="1:10" ht="32.25" customHeight="1" thickBot="1">
      <c r="A3" s="5">
        <v>2</v>
      </c>
      <c r="B3" s="15" t="s">
        <v>19</v>
      </c>
      <c r="D3" s="16" t="s">
        <v>29</v>
      </c>
      <c r="F3" s="18" t="str">
        <f>IF(D3="","",IF(D3="A","WELL DONE",IF(D3=18,"TRY AGAIN","X")))</f>
        <v>WELL DONE</v>
      </c>
      <c r="H3" s="21" t="s">
        <v>27</v>
      </c>
    </row>
    <row r="4" spans="1:10" ht="39.75" customHeight="1" thickBot="1">
      <c r="A4" s="5">
        <v>3</v>
      </c>
      <c r="B4" s="15" t="s">
        <v>20</v>
      </c>
      <c r="D4" s="16" t="s">
        <v>28</v>
      </c>
      <c r="F4" s="18" t="str">
        <f>IF(D4="","",IF(D4="D","WELL DONE",IF(D4=11,"TRY AGAIN","X")))</f>
        <v>WELL DONE</v>
      </c>
      <c r="H4" s="21" t="s">
        <v>33</v>
      </c>
      <c r="J4" s="14"/>
    </row>
    <row r="5" spans="1:10" ht="51.75" customHeight="1" thickBot="1">
      <c r="A5" s="5">
        <v>4</v>
      </c>
      <c r="B5" s="15" t="s">
        <v>21</v>
      </c>
      <c r="D5" s="17" t="s">
        <v>30</v>
      </c>
      <c r="F5" s="18" t="str">
        <f>IF(D5="","",IF(D5="C","WELL DONE",IF(D5=19,"TRY AGAIN","X")))</f>
        <v>WELL DONE</v>
      </c>
      <c r="H5" s="21" t="s">
        <v>34</v>
      </c>
      <c r="J5" s="14"/>
    </row>
    <row r="6" spans="1:10" ht="38.25" thickBot="1">
      <c r="A6" s="5">
        <v>5</v>
      </c>
      <c r="B6" s="15" t="s">
        <v>22</v>
      </c>
      <c r="D6" s="16" t="s">
        <v>28</v>
      </c>
      <c r="F6" s="18" t="str">
        <f>IF(D6="","",IF(D6="D","WELL DONE",IF(D6="B","TRY AGAIN","X")))</f>
        <v>WELL DONE</v>
      </c>
      <c r="H6" s="22" t="s">
        <v>35</v>
      </c>
    </row>
    <row r="7" spans="1:10" ht="4.5" customHeight="1" thickBot="1">
      <c r="H7" s="23"/>
    </row>
    <row r="8" spans="1:10" ht="63" customHeight="1" thickBot="1">
      <c r="A8" s="5">
        <v>6</v>
      </c>
      <c r="B8" s="15" t="s">
        <v>23</v>
      </c>
      <c r="D8" s="17" t="s">
        <v>30</v>
      </c>
      <c r="F8" s="18" t="str">
        <f>IF(D8="","",IF(D8="C","WELL DONE",IF(D8=19,"TRY AGAIN",IF(D8=21,"NO","X"))))</f>
        <v>WELL DONE</v>
      </c>
      <c r="H8" s="24" t="s">
        <v>36</v>
      </c>
    </row>
    <row r="9" spans="1:10" ht="45" customHeight="1" thickBot="1">
      <c r="A9" s="5">
        <v>7</v>
      </c>
      <c r="B9" s="19" t="s">
        <v>24</v>
      </c>
      <c r="D9" s="17" t="s">
        <v>31</v>
      </c>
      <c r="F9" s="18" t="str">
        <f>IF(D9="","",IF(D9="B","WELL DONE",IF(D9="C","TRY AGAIN","X")))</f>
        <v>WELL DONE</v>
      </c>
      <c r="H9" s="21" t="s">
        <v>32</v>
      </c>
    </row>
    <row r="10" spans="1:10" ht="15.75" thickBot="1"/>
    <row r="11" spans="1:10" ht="62.25" thickBot="1">
      <c r="B11" s="110" t="s">
        <v>0</v>
      </c>
      <c r="C11" s="111"/>
      <c r="D11" s="111"/>
      <c r="E11" s="112"/>
      <c r="F11" s="2">
        <f>COUNTIF(F2:F9,"WELL DONE")</f>
        <v>7</v>
      </c>
      <c r="G11" s="2" t="e">
        <f>COUNTIF(#REF!,"WELL DONE")</f>
        <v>#REF!</v>
      </c>
    </row>
  </sheetData>
  <sheetProtection selectLockedCells="1"/>
  <mergeCells count="2">
    <mergeCell ref="A1:H1"/>
    <mergeCell ref="B11:E11"/>
  </mergeCells>
  <conditionalFormatting sqref="F2:F6 F8:F9">
    <cfRule type="cellIs" dxfId="9" priority="3" operator="equal">
      <formula>"WELL DONE"</formula>
    </cfRule>
  </conditionalFormatting>
  <conditionalFormatting sqref="G11">
    <cfRule type="cellIs" dxfId="8" priority="2" operator="between">
      <formula>10</formula>
      <formula>20</formula>
    </cfRule>
  </conditionalFormatting>
  <conditionalFormatting sqref="F11">
    <cfRule type="cellIs" dxfId="7" priority="1" operator="between">
      <formula>10</formula>
      <formula>20</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9">
    <tabColor rgb="FFFFFF00"/>
  </sheetPr>
  <dimension ref="A1:H33"/>
  <sheetViews>
    <sheetView workbookViewId="0">
      <selection activeCell="Q12" sqref="Q12"/>
    </sheetView>
  </sheetViews>
  <sheetFormatPr defaultRowHeight="15"/>
  <cols>
    <col min="2" max="2" width="31.7109375" bestFit="1" customWidth="1"/>
    <col min="3" max="3" width="0.5703125" customWidth="1"/>
    <col min="4" max="4" width="12.7109375" customWidth="1"/>
    <col min="5" max="5" width="1" customWidth="1"/>
    <col min="6" max="6" width="24.42578125" customWidth="1"/>
    <col min="7" max="7" width="1" customWidth="1"/>
    <col min="8" max="8" width="22.7109375" customWidth="1"/>
    <col min="10" max="10" width="13.7109375" bestFit="1" customWidth="1"/>
    <col min="12" max="12" width="11.5703125" bestFit="1" customWidth="1"/>
  </cols>
  <sheetData>
    <row r="1" spans="1:8" ht="33.75">
      <c r="A1" s="113" t="s">
        <v>1</v>
      </c>
      <c r="B1" s="113"/>
      <c r="C1" s="113"/>
      <c r="D1" s="113"/>
      <c r="E1" s="113"/>
      <c r="F1" s="113"/>
      <c r="G1" s="113"/>
      <c r="H1" s="113"/>
    </row>
    <row r="2" spans="1:8" ht="9" customHeight="1" thickBot="1">
      <c r="A2" s="114"/>
      <c r="B2" s="114"/>
      <c r="C2" s="114"/>
      <c r="D2" s="114"/>
      <c r="E2" s="114"/>
      <c r="F2" s="114"/>
      <c r="G2" s="114"/>
      <c r="H2" s="114"/>
    </row>
    <row r="3" spans="1:8" ht="50.25" customHeight="1" thickBot="1">
      <c r="A3" s="5">
        <v>1</v>
      </c>
      <c r="B3" s="6"/>
      <c r="D3" s="7"/>
      <c r="F3" s="1" t="str">
        <f>IF(D3="","",IF(D3=1,"WELL DONE",IF(D3=2,"TRY AGAIN",IF(D3=7,"NO","X"))))</f>
        <v/>
      </c>
      <c r="H3" s="3"/>
    </row>
    <row r="4" spans="1:8" ht="50.1" customHeight="1" thickBot="1">
      <c r="A4" s="5">
        <v>2</v>
      </c>
      <c r="B4" s="6"/>
      <c r="D4" s="7"/>
      <c r="F4" s="1" t="str">
        <f>IF(D4="","",IF(D4=10,"WELL DONE",IF(D4=70,"TRY AGAIN",IF(D4=37,"NO","X"))))</f>
        <v/>
      </c>
      <c r="H4" s="4"/>
    </row>
    <row r="5" spans="1:8" ht="50.1" customHeight="1" thickBot="1">
      <c r="A5" s="5">
        <v>3</v>
      </c>
      <c r="B5" s="6"/>
      <c r="D5" s="7"/>
      <c r="F5" s="1" t="str">
        <f>IF(D5="","",IF(D5=100,"WELL DONE",IF(D5=370,"TRY AGAIN",IF(D5=700,"NO","X"))))</f>
        <v/>
      </c>
      <c r="H5" s="4"/>
    </row>
    <row r="6" spans="1:8" ht="50.1" customHeight="1" thickBot="1">
      <c r="A6" s="5">
        <v>4</v>
      </c>
      <c r="B6" s="6"/>
      <c r="D6" s="7"/>
      <c r="F6" s="1" t="str">
        <f>IF(D6="","",IF(D6=3,"WELL DONE",IF(D6=2,"TRY AGAIN",IF(D6=13,"NO","X"))))</f>
        <v/>
      </c>
      <c r="H6" s="4"/>
    </row>
    <row r="7" spans="1:8" ht="50.1" customHeight="1" thickBot="1">
      <c r="A7" s="5">
        <v>5</v>
      </c>
      <c r="B7" s="6"/>
      <c r="D7" s="7"/>
      <c r="F7" s="1" t="str">
        <f>IF(D7="","",IF(D7=30,"WELL DONE",IF(D7=130,"TRY AGAIN",IF(D7=20,"NO","X"))))</f>
        <v/>
      </c>
      <c r="H7" s="4"/>
    </row>
    <row r="8" spans="1:8" ht="50.1" customHeight="1" thickBot="1">
      <c r="A8" s="5">
        <v>6</v>
      </c>
      <c r="B8" s="6"/>
      <c r="D8" s="7"/>
      <c r="F8" s="1" t="str">
        <f>IF(D8="","",IF(D8=300,"WELL DONE",IF(D8=30,"TRY AGAIN",IF(D8=3,"NO","X"))))</f>
        <v/>
      </c>
      <c r="H8" s="4"/>
    </row>
    <row r="9" spans="1:8" ht="50.1" customHeight="1" thickBot="1">
      <c r="A9" s="5">
        <v>7</v>
      </c>
      <c r="B9" s="6"/>
      <c r="D9" s="7"/>
      <c r="F9" s="1" t="str">
        <f>IF(D9="","",IF(D9=5,"WELL DONE",IF(D9=4,"TRY AGAIN",IF(D9=6,"NO","X"))))</f>
        <v/>
      </c>
      <c r="H9" s="4"/>
    </row>
    <row r="10" spans="1:8" ht="50.1" customHeight="1" thickBot="1">
      <c r="A10" s="5">
        <v>8</v>
      </c>
      <c r="B10" s="6"/>
      <c r="D10" s="7"/>
      <c r="F10" s="1" t="str">
        <f>IF(D10="","",IF(D10=50,"WELL DONE",IF(D10=90,"TRY AGAIN",IF(D10=60,"NO","X"))))</f>
        <v/>
      </c>
      <c r="H10" s="4"/>
    </row>
    <row r="11" spans="1:8" ht="50.1" customHeight="1" thickBot="1">
      <c r="A11" s="5">
        <v>9</v>
      </c>
      <c r="B11" s="6"/>
      <c r="D11" s="7"/>
      <c r="F11" s="1" t="str">
        <f>IF(D11="","",IF(D11=500,"WELL DONE",IF(D11=50,"TRY AGAIN",IF(D11=5000,"NO","X"))))</f>
        <v/>
      </c>
      <c r="H11" s="4"/>
    </row>
    <row r="12" spans="1:8" ht="50.1" customHeight="1" thickBot="1">
      <c r="A12" s="5">
        <v>10</v>
      </c>
      <c r="B12" s="6"/>
      <c r="D12" s="7"/>
      <c r="F12" s="1" t="str">
        <f>IF(D12="","",IF(D12=6,"WELL DONE",IF(D12=5,"TRY AGAIN",IF(D12=1,"NO","X"))))</f>
        <v/>
      </c>
      <c r="H12" s="4"/>
    </row>
    <row r="13" spans="1:8" ht="50.1" customHeight="1" thickBot="1">
      <c r="A13" s="5">
        <v>11</v>
      </c>
      <c r="B13" s="6"/>
      <c r="D13" s="7"/>
      <c r="F13" s="1" t="str">
        <f>IF(D13="","",IF(D13=60,"WELL DONE",IF(D13=50,"TRY AGAIN",IF(D13=1,"NO","X"))))</f>
        <v/>
      </c>
      <c r="H13" s="4"/>
    </row>
    <row r="14" spans="1:8" ht="50.1" customHeight="1" thickBot="1">
      <c r="A14" s="5">
        <v>12</v>
      </c>
      <c r="B14" s="6"/>
      <c r="D14" s="7"/>
      <c r="F14" s="1" t="str">
        <f>IF(D14="","",IF(D14=600,"WELL DONE",IF(D14=6000,"TRY AGAIN",IF(D14=60,"NO","X"))))</f>
        <v/>
      </c>
      <c r="H14" s="4"/>
    </row>
    <row r="15" spans="1:8" ht="50.1" customHeight="1" thickBot="1">
      <c r="A15" s="5">
        <v>13</v>
      </c>
      <c r="B15" s="11"/>
      <c r="D15" s="7"/>
      <c r="F15" s="1" t="str">
        <f>IF(D15="","",IF(D15=10,"WELL DONE",IF(D15=25,"TRY AGAIN",IF(D15=14,"NO","X"))))</f>
        <v/>
      </c>
      <c r="H15" s="4"/>
    </row>
    <row r="16" spans="1:8" ht="50.1" customHeight="1" thickBot="1">
      <c r="A16" s="5">
        <v>14</v>
      </c>
      <c r="B16" s="6"/>
      <c r="D16" s="7"/>
      <c r="F16" s="1" t="str">
        <f>IF(D16="","",IF(D16=100,"WELL DONE",IF(D16=500,"TRY AGAIN",IF(D16=250,"NO","X"))))</f>
        <v/>
      </c>
      <c r="H16" s="4"/>
    </row>
    <row r="17" spans="1:8" ht="50.1" customHeight="1" thickBot="1">
      <c r="A17" s="5">
        <v>15</v>
      </c>
      <c r="B17" s="6"/>
      <c r="D17" s="7"/>
      <c r="F17" s="1" t="str">
        <f>IF(D17="","",IF(D17=1000,"WELL DONE",IF(D17=100,"TRY AGAIN","X")))</f>
        <v/>
      </c>
      <c r="H17" s="4"/>
    </row>
    <row r="18" spans="1:8" ht="50.1" customHeight="1" thickBot="1">
      <c r="A18" s="5">
        <v>16</v>
      </c>
      <c r="B18" s="6"/>
      <c r="D18" s="7"/>
      <c r="F18" s="1" t="str">
        <f>IF(D18="","",IF(D18=8,"WELL DONE",IF(D18=7,"TRY AGAIN",IF(D18=44,"NO","X"))))</f>
        <v/>
      </c>
      <c r="H18" s="4"/>
    </row>
    <row r="19" spans="1:8" ht="50.1" customHeight="1" thickBot="1">
      <c r="A19" s="5">
        <v>17</v>
      </c>
      <c r="B19" s="6"/>
      <c r="D19" s="7"/>
      <c r="F19" s="1" t="str">
        <f>IF(D19="","",IF(D19=80,"WELL DONE",IF(D19=440,"TRY AGAIN",IF(D19=44,"NO","X"))))</f>
        <v/>
      </c>
      <c r="H19" s="4"/>
    </row>
    <row r="20" spans="1:8" ht="50.1" customHeight="1" thickBot="1">
      <c r="A20" s="5">
        <v>18</v>
      </c>
      <c r="B20" s="6"/>
      <c r="D20" s="7"/>
      <c r="F20" s="1" t="str">
        <f>IF(D20="","",IF(D20=800,"WELL DONE",IF(D20=1600,"TRY AGAIN",IF(D20=80,"NO","X"))))</f>
        <v/>
      </c>
      <c r="H20" s="4"/>
    </row>
    <row r="21" spans="1:8" ht="50.1" customHeight="1" thickBot="1">
      <c r="A21" s="5">
        <v>19</v>
      </c>
      <c r="B21" s="6"/>
      <c r="D21" s="7"/>
      <c r="F21" s="1" t="str">
        <f>IF(D21="","",IF(D21=1,"WELL DONE",IF(D21=100,"TRY AGAIN",IF(D21=10,"NO","X"))))</f>
        <v/>
      </c>
      <c r="H21" s="4"/>
    </row>
    <row r="22" spans="1:8" ht="50.1" customHeight="1" thickBot="1">
      <c r="A22" s="5">
        <v>20</v>
      </c>
      <c r="B22" s="6"/>
      <c r="D22" s="7"/>
      <c r="F22" s="1" t="str">
        <f>IF(D22="","",IF(D22=1,"WELL DONE",IF(D22=200,"TRY AGAIN",IF(D22=100,"NO","X"))))</f>
        <v/>
      </c>
      <c r="H22" s="4"/>
    </row>
    <row r="23" spans="1:8" ht="50.1" customHeight="1" thickBot="1">
      <c r="A23" s="5">
        <v>21</v>
      </c>
      <c r="B23" s="6"/>
      <c r="D23" s="7"/>
      <c r="F23" s="1" t="str">
        <f>IF(D23="","",IF(D23=4,"WELL DONE",IF(D23=410,"TRY AGAIN",IF(D23=10,"NO","X"))))</f>
        <v/>
      </c>
      <c r="H23" s="4"/>
    </row>
    <row r="24" spans="1:8" ht="50.1" customHeight="1" thickBot="1">
      <c r="A24" s="5">
        <v>22</v>
      </c>
      <c r="B24" s="6"/>
      <c r="D24" s="7"/>
      <c r="F24" s="1" t="str">
        <f>IF(D24="","",IF(D24=4,"WELL DONE",IF(D24=400,"TRY AGAIN",IF(D24=100,"NO","X"))))</f>
        <v/>
      </c>
      <c r="H24" s="4"/>
    </row>
    <row r="25" spans="1:8" ht="50.1" customHeight="1" thickBot="1">
      <c r="A25" s="5">
        <v>23</v>
      </c>
      <c r="B25" s="6"/>
      <c r="D25" s="7"/>
      <c r="F25" s="1" t="str">
        <f>IF(D25="","",IF(D25=6,"WELL DONE",IF(D25=70,"TRY AGAIN",IF(D25=50,"NO","X"))))</f>
        <v/>
      </c>
      <c r="H25" s="4"/>
    </row>
    <row r="26" spans="1:8" ht="50.1" customHeight="1" thickBot="1">
      <c r="A26" s="5">
        <v>24</v>
      </c>
      <c r="B26" s="6"/>
      <c r="D26" s="7"/>
      <c r="F26" s="1" t="str">
        <f>IF(D26="","",IF(D26=6,"WELL DONE",IF(D26=5,"TRY AGAIN",IF(D26=700,"NO","X"))))</f>
        <v/>
      </c>
      <c r="H26" s="4"/>
    </row>
    <row r="27" spans="1:8" ht="50.1" customHeight="1" thickBot="1">
      <c r="A27" s="5">
        <v>25</v>
      </c>
      <c r="B27" s="6"/>
      <c r="D27" s="7"/>
      <c r="F27" s="1" t="str">
        <f>IF(D27="","",IF(D27=5,"WELL DONE",IF(D27=60,"TRY AGAIN",IF(D27=500,"NO","X"))))</f>
        <v/>
      </c>
      <c r="H27" s="4"/>
    </row>
    <row r="28" spans="1:8" ht="50.1" customHeight="1" thickBot="1">
      <c r="A28" s="5">
        <v>26</v>
      </c>
      <c r="B28" s="6"/>
      <c r="D28" s="7"/>
      <c r="F28" s="1" t="str">
        <f>IF(D28="","",IF(D28=5,"WELL DONE",IF(D28=5000,"TRY AGAIN",IF(D28=7,"NO","X"))))</f>
        <v/>
      </c>
      <c r="H28" s="4"/>
    </row>
    <row r="29" spans="1:8" ht="50.1" customHeight="1" thickBot="1">
      <c r="A29" s="5">
        <v>27</v>
      </c>
      <c r="B29" s="6"/>
      <c r="D29" s="7"/>
      <c r="F29" s="1" t="str">
        <f>IF(D29="","",IF(D29=40,"WELL DONE",IF(D29=44,"TRY AGAIN",IF(D29=410,"NO","X"))))</f>
        <v/>
      </c>
      <c r="H29" s="4"/>
    </row>
    <row r="30" spans="1:8" ht="50.1" customHeight="1" thickBot="1">
      <c r="A30" s="5">
        <v>28</v>
      </c>
      <c r="B30" s="6"/>
      <c r="D30" s="7"/>
      <c r="F30" s="1" t="str">
        <f>IF(D30="","",IF(D30=400,"WELL DONE",IF(D30=40,"TRY AGAIN",IF(D30=50,"NO","X"))))</f>
        <v/>
      </c>
      <c r="H30" s="4"/>
    </row>
    <row r="31" spans="1:8" ht="50.1" customHeight="1" thickBot="1">
      <c r="A31" s="5">
        <v>29</v>
      </c>
      <c r="B31" s="6"/>
      <c r="D31" s="7"/>
      <c r="F31" s="1" t="str">
        <f>IF(D31="","",IF(D31=4000,"WELL DONE",IF(D31=400,"TRY AGAIN",IF(D31=40,"NO","X"))))</f>
        <v/>
      </c>
      <c r="H31" s="4"/>
    </row>
    <row r="32" spans="1:8" ht="54" customHeight="1" thickBot="1">
      <c r="A32" s="5">
        <v>30</v>
      </c>
      <c r="B32" s="6"/>
      <c r="D32" s="7"/>
      <c r="F32" s="1" t="str">
        <f>IF(D32="","",IF(D32=90,"WELL DONE",IF(D32=91,"TRY AGAIN",IF(D32=910,"NO","X"))))</f>
        <v/>
      </c>
      <c r="H32" s="4"/>
    </row>
    <row r="33" spans="1:6" ht="54" customHeight="1" thickBot="1">
      <c r="A33" s="110" t="s">
        <v>0</v>
      </c>
      <c r="B33" s="111"/>
      <c r="C33" s="111"/>
      <c r="D33" s="112"/>
      <c r="F33" s="2">
        <f>COUNTIF(F2:F32,"WELL DONE")</f>
        <v>0</v>
      </c>
    </row>
  </sheetData>
  <mergeCells count="3">
    <mergeCell ref="A1:H1"/>
    <mergeCell ref="A2:H2"/>
    <mergeCell ref="A33:D33"/>
  </mergeCells>
  <conditionalFormatting sqref="F3:F32">
    <cfRule type="cellIs" dxfId="6" priority="2" operator="equal">
      <formula>"WELL DONE"</formula>
    </cfRule>
  </conditionalFormatting>
  <conditionalFormatting sqref="F32:F33">
    <cfRule type="cellIs" dxfId="5" priority="1" operator="between">
      <formula>10</formula>
      <formula>20</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0">
    <tabColor rgb="FF0000FF"/>
  </sheetPr>
  <dimension ref="A1:H35"/>
  <sheetViews>
    <sheetView workbookViewId="0">
      <selection activeCell="O13" sqref="O13"/>
    </sheetView>
  </sheetViews>
  <sheetFormatPr defaultRowHeight="15"/>
  <cols>
    <col min="2" max="2" width="31.7109375" bestFit="1" customWidth="1"/>
    <col min="3" max="3" width="0.5703125" customWidth="1"/>
    <col min="4" max="4" width="12.7109375" customWidth="1"/>
    <col min="5" max="5" width="1" customWidth="1"/>
    <col min="6" max="6" width="24.42578125" customWidth="1"/>
    <col min="7" max="7" width="1" customWidth="1"/>
    <col min="8" max="8" width="22.7109375" customWidth="1"/>
  </cols>
  <sheetData>
    <row r="1" spans="1:8" ht="33.75">
      <c r="A1" s="113" t="s">
        <v>1</v>
      </c>
      <c r="B1" s="113"/>
      <c r="C1" s="113"/>
      <c r="D1" s="113"/>
      <c r="E1" s="113"/>
      <c r="F1" s="113"/>
      <c r="G1" s="113"/>
      <c r="H1" s="113"/>
    </row>
    <row r="2" spans="1:8" ht="4.5" customHeight="1" thickBot="1">
      <c r="A2" s="114"/>
      <c r="B2" s="114"/>
      <c r="C2" s="114"/>
      <c r="D2" s="114"/>
      <c r="E2" s="114"/>
      <c r="F2" s="114"/>
      <c r="G2" s="114"/>
      <c r="H2" s="114"/>
    </row>
    <row r="3" spans="1:8" ht="50.25" customHeight="1" thickBot="1">
      <c r="A3" s="5">
        <v>1</v>
      </c>
      <c r="B3" s="6"/>
      <c r="D3" s="12"/>
      <c r="F3" s="1" t="str">
        <f>IF(D3="","",IF(D3=79,"WELL DONE",IF(D3=89,"TRY AGAIN",IF(D3=91,"NO","X"))))</f>
        <v/>
      </c>
      <c r="H3" s="3"/>
    </row>
    <row r="4" spans="1:8" ht="50.1" customHeight="1" thickBot="1">
      <c r="A4" s="5">
        <v>2</v>
      </c>
      <c r="B4" s="6"/>
      <c r="D4" s="12"/>
      <c r="F4" s="1" t="str">
        <f>IF(D4="","",IF(D4=179,"WELL DONE",IF(D4=279,"TRY AGAIN",IF(D4=191,"NO","X"))))</f>
        <v/>
      </c>
      <c r="H4" s="4"/>
    </row>
    <row r="5" spans="1:8" ht="50.1" customHeight="1" thickBot="1">
      <c r="A5" s="5">
        <v>3</v>
      </c>
      <c r="B5" s="6"/>
      <c r="D5" s="12"/>
      <c r="F5" s="1" t="str">
        <f>IF(D5="","",IF(D5=50,"WELL DONE",IF(D5=51,"TRY AGAIN",IF(D5=50,"NO","X"))))</f>
        <v/>
      </c>
      <c r="H5" s="4"/>
    </row>
    <row r="6" spans="1:8" ht="50.1" customHeight="1" thickBot="1">
      <c r="A6" s="5">
        <v>4</v>
      </c>
      <c r="B6" s="6"/>
      <c r="D6" s="12"/>
      <c r="F6" s="1" t="str">
        <f>IF(D6="","",IF(D6=150,"WELL DONE",IF(D6=50,"TRY AGAIN",IF(D6=140,"NO","X"))))</f>
        <v/>
      </c>
      <c r="H6" s="4"/>
    </row>
    <row r="7" spans="1:8" ht="50.1" customHeight="1" thickBot="1">
      <c r="A7" s="5">
        <v>5</v>
      </c>
      <c r="B7" s="6"/>
      <c r="D7" s="12"/>
      <c r="F7" s="1" t="str">
        <f>IF(D7="","",IF(D7=59,"WELL DONE",IF(D7=69,"TRY AGAIN",IF(D7=60,"NO","X"))))</f>
        <v/>
      </c>
      <c r="H7" s="4"/>
    </row>
    <row r="8" spans="1:8" ht="50.1" customHeight="1" thickBot="1">
      <c r="A8" s="5">
        <v>6</v>
      </c>
      <c r="B8" s="6"/>
      <c r="D8" s="12"/>
      <c r="F8" s="1" t="str">
        <f>IF(D8="","",IF(D8=159,"WELL DONE",IF(D8=59,"TRY AGAIN",IF(D8=259,"NO","X"))))</f>
        <v/>
      </c>
      <c r="H8" s="4"/>
    </row>
    <row r="9" spans="1:8" ht="50.1" customHeight="1" thickBot="1">
      <c r="A9" s="5">
        <v>7</v>
      </c>
      <c r="B9" s="6"/>
      <c r="D9" s="12"/>
      <c r="F9" s="1" t="str">
        <f>IF(D9="","",IF(D9=38,"WELL DONE",IF(D9=299,"TRY AGAIN",IF(D9=38,"NO","X"))))</f>
        <v/>
      </c>
      <c r="H9" s="4"/>
    </row>
    <row r="10" spans="1:8" ht="50.1" customHeight="1" thickBot="1">
      <c r="A10" s="5">
        <v>8</v>
      </c>
      <c r="B10" s="6"/>
      <c r="D10" s="12"/>
      <c r="F10" s="1" t="str">
        <f>IF(D10="","",IF(D10=338,"WELL DONE",IF(D10=380,"TRY AGAIN",IF(D10=333,"NO","X"))))</f>
        <v/>
      </c>
      <c r="H10" s="4"/>
    </row>
    <row r="11" spans="1:8" ht="50.1" customHeight="1" thickBot="1">
      <c r="A11" s="5">
        <v>9</v>
      </c>
      <c r="B11" s="6"/>
      <c r="D11" s="12"/>
      <c r="F11" s="1" t="str">
        <f>IF(D11="","",IF(D11=52,"WELL DONE",IF(D11=64,"TRY AGAIN",IF(D11=53,"NO","X"))))</f>
        <v/>
      </c>
      <c r="H11" s="4"/>
    </row>
    <row r="12" spans="1:8" ht="50.1" customHeight="1" thickBot="1">
      <c r="A12" s="5">
        <v>10</v>
      </c>
      <c r="B12" s="6"/>
      <c r="D12" s="12"/>
      <c r="F12" s="1" t="str">
        <f>IF(D12="","",IF(D12=452,"WELL DONE",IF(D12=464,"TRY AGAIN",IF(D12=456,"NO","X"))))</f>
        <v/>
      </c>
      <c r="H12" s="4"/>
    </row>
    <row r="13" spans="1:8" ht="50.1" customHeight="1" thickBot="1">
      <c r="A13" s="5">
        <v>11</v>
      </c>
      <c r="B13" s="6"/>
      <c r="D13" s="12"/>
      <c r="F13" s="1" t="str">
        <f>IF(D13="","",IF(D13=81,"WELL DONE",IF(D13=67,"TRY AGAIN",IF(D13=83,"NO","X"))))</f>
        <v/>
      </c>
      <c r="H13" s="4"/>
    </row>
    <row r="14" spans="1:8" ht="50.1" customHeight="1" thickBot="1">
      <c r="A14" s="5">
        <v>12</v>
      </c>
      <c r="B14" s="6"/>
      <c r="D14" s="12"/>
      <c r="F14" s="1" t="str">
        <f>IF(D14="","",IF(D14=381,"WELL DONE",IF(D14=444,"TRY AGAIN",IF(D14=12,"NO","X"))))</f>
        <v/>
      </c>
      <c r="H14" s="4"/>
    </row>
    <row r="15" spans="1:8" ht="50.1" customHeight="1" thickBot="1">
      <c r="A15" s="5">
        <v>13</v>
      </c>
      <c r="B15" s="6"/>
      <c r="D15" s="12"/>
      <c r="F15" s="1" t="str">
        <f>IF(D15="","",IF(D15=40,"WELL DONE",IF(D15=400,"TRY AGAIN",IF(D15=14,"NO","X"))))</f>
        <v/>
      </c>
      <c r="H15" s="4"/>
    </row>
    <row r="16" spans="1:8" ht="50.1" customHeight="1" thickBot="1">
      <c r="A16" s="5">
        <v>14</v>
      </c>
      <c r="B16" s="6"/>
      <c r="D16" s="12"/>
      <c r="F16" s="1" t="str">
        <f>IF(D16="","",IF(D16=140,"WELL DONE",IF(D16=138,"TRY AGAIN",IF(D16=40,"NO","X"))))</f>
        <v/>
      </c>
      <c r="H16" s="4"/>
    </row>
    <row r="17" spans="1:8" ht="50.1" customHeight="1" thickBot="1">
      <c r="A17" s="5">
        <v>15</v>
      </c>
      <c r="B17" s="6"/>
      <c r="D17" s="12"/>
      <c r="F17" s="1" t="str">
        <f>IF(D17="","",IF(D17=97,"WELL DONE",IF(D17=98,"TRY AGAIN","X")))</f>
        <v/>
      </c>
      <c r="H17" s="4"/>
    </row>
    <row r="18" spans="1:8" ht="50.1" customHeight="1" thickBot="1">
      <c r="A18" s="5">
        <v>16</v>
      </c>
      <c r="B18" s="6"/>
      <c r="D18" s="12"/>
      <c r="F18" s="1" t="str">
        <f>IF(D18="","",IF(D18=297,"WELL DONE",IF(D18=497,"TRY AGAIN",IF(D18=45,"NO","X"))))</f>
        <v/>
      </c>
      <c r="H18" s="4"/>
    </row>
    <row r="19" spans="1:8" ht="50.1" customHeight="1" thickBot="1">
      <c r="A19" s="5">
        <v>17</v>
      </c>
      <c r="B19" s="6"/>
      <c r="D19" s="12"/>
      <c r="F19" s="1" t="str">
        <f>IF(D19="","",IF(D19=97,"WELL DONE",IF(D19=197,"TRY AGAIN",IF(D19=98,"NO","X"))))</f>
        <v/>
      </c>
      <c r="H19" s="4"/>
    </row>
    <row r="20" spans="1:8" ht="50.1" customHeight="1" thickBot="1">
      <c r="A20" s="5">
        <v>18</v>
      </c>
      <c r="B20" s="6"/>
      <c r="D20" s="12"/>
      <c r="F20" s="1" t="str">
        <f>IF(D20="","",IF(D20=197,"WELL DONE",IF(D20=97,"TRY AGAIN",IF(D20=199,"NO","X"))))</f>
        <v/>
      </c>
      <c r="H20" s="4"/>
    </row>
    <row r="21" spans="1:8" ht="50.1" customHeight="1" thickBot="1">
      <c r="A21" s="5">
        <v>19</v>
      </c>
      <c r="B21" s="6"/>
      <c r="D21" s="12"/>
      <c r="F21" s="1" t="str">
        <f>IF(D21="","",IF(D21=278,"WELL DONE",IF(D21=277,"TRY AGAIN",IF(D21=288,"NO","X"))))</f>
        <v/>
      </c>
      <c r="H21" s="4"/>
    </row>
    <row r="22" spans="1:8" ht="30.75" customHeight="1" thickBot="1">
      <c r="A22" s="115" t="s">
        <v>2</v>
      </c>
      <c r="B22" s="115"/>
      <c r="C22" s="115"/>
      <c r="D22" s="115"/>
      <c r="E22" s="115"/>
      <c r="F22" s="115"/>
      <c r="G22" s="115"/>
      <c r="H22" s="115"/>
    </row>
    <row r="23" spans="1:8" ht="50.1" customHeight="1" thickBot="1">
      <c r="A23" s="5">
        <v>20</v>
      </c>
      <c r="B23" s="6"/>
      <c r="D23" s="13"/>
      <c r="F23" s="1" t="str">
        <f>IF(D23="","",IF(D23=252,"WELL DONE",IF(D23=152,"TRY AGAIN",IF(D23=256,"NO","X"))))</f>
        <v/>
      </c>
      <c r="H23" s="4"/>
    </row>
    <row r="24" spans="1:8" ht="50.1" customHeight="1" thickBot="1">
      <c r="A24" s="5">
        <v>21</v>
      </c>
      <c r="B24" s="6"/>
      <c r="D24" s="13"/>
      <c r="F24" s="1" t="str">
        <f>IF(D24="","",IF(D24=680,"WELL DONE",IF(D24=780,"TRY AGAIN",IF(D24=380,"NO","X"))))</f>
        <v/>
      </c>
      <c r="H24" s="4"/>
    </row>
    <row r="25" spans="1:8" ht="50.1" customHeight="1" thickBot="1">
      <c r="A25" s="5">
        <v>22</v>
      </c>
      <c r="B25" s="6"/>
      <c r="D25" s="13"/>
      <c r="F25" s="1" t="str">
        <f>IF(D25="","",IF(D25=152,"WELL DONE",IF(D25=146,"TRY AGAIN",IF(D25=142,"NO","X"))))</f>
        <v/>
      </c>
      <c r="H25" s="4"/>
    </row>
    <row r="26" spans="1:8" ht="50.1" customHeight="1" thickBot="1">
      <c r="A26" s="5">
        <v>23</v>
      </c>
      <c r="B26" s="6"/>
      <c r="D26" s="13"/>
      <c r="F26" s="1" t="str">
        <f>IF(D26="","",IF(D26=304,"WELL DONE",IF(D26=204,"TRY AGAIN",IF(D26=302,"NO","X"))))</f>
        <v/>
      </c>
      <c r="H26" s="4"/>
    </row>
    <row r="27" spans="1:8" ht="50.1" customHeight="1" thickBot="1">
      <c r="A27" s="5">
        <v>24</v>
      </c>
      <c r="B27" s="6"/>
      <c r="D27" s="13"/>
      <c r="F27" s="1" t="str">
        <f>IF(D27="","",IF(D27=408,"WELL DONE",IF(D27=208,"TRY AGAIN",IF(D27=228,"NO","X"))))</f>
        <v/>
      </c>
      <c r="H27" s="4"/>
    </row>
    <row r="28" spans="1:8" ht="50.1" customHeight="1" thickBot="1">
      <c r="A28" s="5">
        <v>25</v>
      </c>
      <c r="B28" s="6"/>
      <c r="D28" s="13"/>
      <c r="F28" s="1" t="str">
        <f>IF(D28="","",IF(D28=510,"WELL DONE",IF(D28=310,"TRY AGAIN",IF(D28=30,"NO","X"))))</f>
        <v/>
      </c>
      <c r="H28" s="4"/>
    </row>
    <row r="29" spans="1:8" ht="31.5" customHeight="1" thickBot="1">
      <c r="A29" s="115" t="s">
        <v>3</v>
      </c>
      <c r="B29" s="115"/>
      <c r="C29" s="115"/>
      <c r="D29" s="115"/>
      <c r="E29" s="115"/>
      <c r="F29" s="115"/>
      <c r="G29" s="115"/>
      <c r="H29" s="115"/>
    </row>
    <row r="30" spans="1:8" ht="50.1" customHeight="1" thickBot="1">
      <c r="A30" s="5">
        <v>26</v>
      </c>
      <c r="B30" s="6"/>
      <c r="D30" s="12"/>
      <c r="F30" s="1" t="str">
        <f>IF(D30="","",IF(D30=TRUE,"WELL DONE",IF(D30=FALSE,"TRY AGAIN","X")))</f>
        <v/>
      </c>
      <c r="H30" s="4"/>
    </row>
    <row r="31" spans="1:8" ht="50.1" customHeight="1" thickBot="1">
      <c r="A31" s="5">
        <v>27</v>
      </c>
      <c r="B31" s="6"/>
      <c r="D31" s="12"/>
      <c r="F31" s="1" t="str">
        <f>IF(D31="","",IF(D31=FALSE,"WELL DONE",IF(D31=TRUE,"TRY AGAIN","X")))</f>
        <v/>
      </c>
      <c r="H31" s="4"/>
    </row>
    <row r="32" spans="1:8" ht="50.1" customHeight="1" thickBot="1">
      <c r="A32" s="5">
        <v>28</v>
      </c>
      <c r="B32" s="6"/>
      <c r="D32" s="12"/>
      <c r="F32" s="1" t="str">
        <f>IF(D32="","",IF(D32=FALSE,"WELL DONE",IF(D32=TRUE,"TRY AGAIN","X")))</f>
        <v/>
      </c>
      <c r="H32" s="4"/>
    </row>
    <row r="33" spans="1:8" ht="50.1" customHeight="1" thickBot="1">
      <c r="A33" s="5">
        <v>29</v>
      </c>
      <c r="B33" s="6"/>
      <c r="D33" s="12">
        <v>0</v>
      </c>
      <c r="F33" s="1" t="str">
        <f>IF(D33="","",IF(D33=FALSE,"WELL DONE",IF(D33=TRUE,"TRY AGAIN","X")))</f>
        <v>X</v>
      </c>
      <c r="H33" s="4"/>
    </row>
    <row r="34" spans="1:8" ht="54" customHeight="1" thickBot="1">
      <c r="A34" s="5">
        <v>30</v>
      </c>
      <c r="B34" s="6"/>
      <c r="D34" s="12"/>
      <c r="F34" s="1" t="str">
        <f>IF(D34="","",IF(D34=TRUE,"WELL DONE",IF(D34=FALSE,"TRY AGAIN","X")))</f>
        <v/>
      </c>
      <c r="H34" s="4"/>
    </row>
    <row r="35" spans="1:8" ht="54" customHeight="1" thickBot="1">
      <c r="A35" s="110" t="s">
        <v>0</v>
      </c>
      <c r="B35" s="111"/>
      <c r="C35" s="111"/>
      <c r="D35" s="112"/>
      <c r="F35" s="2">
        <f>COUNTIF(F2:F34,"WELL DONE")</f>
        <v>0</v>
      </c>
    </row>
  </sheetData>
  <mergeCells count="5">
    <mergeCell ref="A1:H1"/>
    <mergeCell ref="A2:H2"/>
    <mergeCell ref="A22:H22"/>
    <mergeCell ref="A29:H29"/>
    <mergeCell ref="A35:D35"/>
  </mergeCells>
  <conditionalFormatting sqref="F3:F21 F23:F28 F30:F34">
    <cfRule type="cellIs" dxfId="4" priority="3" operator="equal">
      <formula>"WELL DONE"</formula>
    </cfRule>
  </conditionalFormatting>
  <conditionalFormatting sqref="F34:F35">
    <cfRule type="cellIs" dxfId="3" priority="2" operator="between">
      <formula>10</formula>
      <formula>20</formula>
    </cfRule>
  </conditionalFormatting>
  <conditionalFormatting sqref="F30:F34">
    <cfRule type="cellIs" dxfId="2" priority="1" operator="equal">
      <formula>"WELL DONE"</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8">
    <tabColor rgb="FF7030A0"/>
  </sheetPr>
  <dimension ref="A1:H33"/>
  <sheetViews>
    <sheetView workbookViewId="0">
      <selection activeCell="P12" sqref="P12"/>
    </sheetView>
  </sheetViews>
  <sheetFormatPr defaultRowHeight="15"/>
  <cols>
    <col min="2" max="2" width="31.7109375" bestFit="1" customWidth="1"/>
    <col min="3" max="3" width="0.5703125" customWidth="1"/>
    <col min="4" max="4" width="12.7109375" customWidth="1"/>
    <col min="5" max="5" width="1" customWidth="1"/>
    <col min="6" max="6" width="24.42578125" customWidth="1"/>
    <col min="7" max="7" width="1" customWidth="1"/>
    <col min="8" max="8" width="22.7109375" customWidth="1"/>
    <col min="10" max="10" width="24.28515625" bestFit="1" customWidth="1"/>
  </cols>
  <sheetData>
    <row r="1" spans="1:8" ht="33.75">
      <c r="A1" s="113" t="s">
        <v>1</v>
      </c>
      <c r="B1" s="113"/>
      <c r="C1" s="113"/>
      <c r="D1" s="113"/>
      <c r="E1" s="113"/>
      <c r="F1" s="113"/>
      <c r="G1" s="113"/>
      <c r="H1" s="113"/>
    </row>
    <row r="2" spans="1:8" ht="24" thickBot="1">
      <c r="A2" s="114"/>
      <c r="B2" s="114"/>
      <c r="C2" s="114"/>
      <c r="D2" s="114"/>
      <c r="E2" s="114"/>
      <c r="F2" s="114"/>
      <c r="G2" s="114"/>
      <c r="H2" s="114"/>
    </row>
    <row r="3" spans="1:8" ht="50.25" customHeight="1" thickBot="1">
      <c r="A3" s="5">
        <v>1</v>
      </c>
      <c r="B3" s="6"/>
      <c r="D3" s="8"/>
      <c r="F3" s="1" t="str">
        <f>IF(D3="","",IF(D3=88,"WELL DONE",IF(D3=79,"TRY AGAIN",IF(D3=89,"NO","X"))))</f>
        <v/>
      </c>
      <c r="H3" s="3"/>
    </row>
    <row r="4" spans="1:8" ht="50.1" customHeight="1" thickBot="1">
      <c r="A4" s="5">
        <v>2</v>
      </c>
      <c r="B4" s="6"/>
      <c r="D4" s="8"/>
      <c r="F4" s="1" t="str">
        <f>IF(D4="","",IF(D4=50,"WELL DONE",IF(D4=500,"TRY AGAIN",IF(D4=510,"NO","X"))))</f>
        <v/>
      </c>
      <c r="H4" s="4"/>
    </row>
    <row r="5" spans="1:8" ht="50.1" customHeight="1" thickBot="1">
      <c r="A5" s="5">
        <v>3</v>
      </c>
      <c r="B5" s="6"/>
      <c r="D5" s="8"/>
      <c r="F5" s="1" t="str">
        <f>IF(D5="","",IF(D5=10,"WELL DONE",IF(D5=90,"TRY AGAIN",IF(D5=1000,"NO","X"))))</f>
        <v/>
      </c>
      <c r="H5" s="4"/>
    </row>
    <row r="6" spans="1:8" ht="50.1" customHeight="1" thickBot="1">
      <c r="A6" s="5">
        <v>4</v>
      </c>
      <c r="B6" s="6"/>
      <c r="D6" s="8"/>
      <c r="F6" s="1" t="str">
        <f>IF(D6="","",IF(D6=100,"WELL DONE",IF(D6=80,"TRY AGAIN",IF(D6=900,"NO","X"))))</f>
        <v/>
      </c>
      <c r="H6" s="4"/>
    </row>
    <row r="7" spans="1:8" ht="50.1" customHeight="1" thickBot="1">
      <c r="A7" s="5">
        <v>5</v>
      </c>
      <c r="B7" s="6"/>
      <c r="D7" s="8"/>
      <c r="F7" s="1" t="str">
        <f>IF(D7="","",IF(D7=393,"WELL DONE",IF(D7=384,"TRY AGAIN",IF(D7=483,"NO","X"))))</f>
        <v/>
      </c>
      <c r="H7" s="4"/>
    </row>
    <row r="8" spans="1:8" ht="50.1" customHeight="1" thickBot="1">
      <c r="A8" s="5">
        <v>6</v>
      </c>
      <c r="B8" s="6"/>
      <c r="D8" s="8"/>
      <c r="F8" s="1" t="str">
        <f>IF(D8="","",IF(D8=487,"WELL DONE",IF(D8=397,"TRY AGAIN",IF(D8=496,"NO","X"))))</f>
        <v/>
      </c>
      <c r="H8" s="4"/>
    </row>
    <row r="9" spans="1:8" ht="50.1" customHeight="1" thickBot="1">
      <c r="A9" s="5">
        <v>7</v>
      </c>
      <c r="B9" s="6"/>
      <c r="D9" s="8"/>
      <c r="F9" s="1" t="str">
        <f>IF(D9="","",IF(D9=80,"WELL DONE",IF(D9=81,"TRY AGAIN",IF(D9=18,"NO","X"))))</f>
        <v/>
      </c>
      <c r="H9" s="4"/>
    </row>
    <row r="10" spans="1:8" ht="50.1" customHeight="1" thickBot="1">
      <c r="A10" s="5">
        <v>8</v>
      </c>
      <c r="B10" s="6"/>
      <c r="D10" s="8"/>
      <c r="F10" s="1" t="str">
        <f>IF(D10="","",IF(D10=558,"WELL DONE",IF(D10=468,"TRY AGAIN",IF(D10=457,"NO","X"))))</f>
        <v/>
      </c>
      <c r="H10" s="4"/>
    </row>
    <row r="11" spans="1:8" ht="50.1" customHeight="1" thickBot="1">
      <c r="A11" s="5">
        <v>9</v>
      </c>
      <c r="B11" s="6"/>
      <c r="D11" s="8"/>
      <c r="F11" s="1" t="str">
        <f>IF(D11="","",IF(D11=809,"WELL DONE",IF(D11=709,"TRY AGAIN",IF(D11=800,"NO","X"))))</f>
        <v/>
      </c>
      <c r="H11" s="4"/>
    </row>
    <row r="12" spans="1:8" ht="50.1" customHeight="1" thickBot="1">
      <c r="A12" s="5">
        <v>10</v>
      </c>
      <c r="B12" s="6"/>
      <c r="D12" s="8"/>
      <c r="F12" s="1" t="str">
        <f>IF(D12="","",IF(D12=30,"WELL DONE",IF(D12=10,"TRY AGAIN",IF(D12=13,"NO","X"))))</f>
        <v/>
      </c>
      <c r="H12" s="4"/>
    </row>
    <row r="13" spans="1:8" ht="50.1" customHeight="1" thickBot="1">
      <c r="A13" s="5">
        <v>11</v>
      </c>
      <c r="B13" s="6"/>
      <c r="D13" s="8"/>
      <c r="F13" s="1" t="str">
        <f>IF(D13="","",IF(D13=300,"WELL DONE",IF(D13=40,"TRY AGAIN",IF(D13=310,"NO","X"))))</f>
        <v/>
      </c>
      <c r="H13" s="4"/>
    </row>
    <row r="14" spans="1:8" ht="50.1" customHeight="1" thickBot="1">
      <c r="A14" s="5">
        <v>12</v>
      </c>
      <c r="B14" s="6"/>
      <c r="D14" s="8"/>
      <c r="F14" s="1" t="str">
        <f>IF(D14="","",IF(D14=3000,"WELL DONE",IF(D14=310,"TRY AGAIN",IF(D14=30000,"NO","X"))))</f>
        <v/>
      </c>
      <c r="H14" s="4"/>
    </row>
    <row r="15" spans="1:8" ht="50.1" customHeight="1" thickBot="1">
      <c r="A15" s="5">
        <v>13</v>
      </c>
      <c r="B15" s="6"/>
      <c r="D15" s="8"/>
      <c r="F15" s="1" t="str">
        <f>IF(D15="","",IF(D15=70,"WELL DONE",IF(D15=700,"TRY AGAIN",IF(D15=710,"NO","X"))))</f>
        <v/>
      </c>
      <c r="H15" s="4"/>
    </row>
    <row r="16" spans="1:8" ht="50.1" customHeight="1" thickBot="1">
      <c r="A16" s="5">
        <v>14</v>
      </c>
      <c r="B16" s="6"/>
      <c r="D16" s="8"/>
      <c r="F16" s="1" t="str">
        <f>IF(D16="","",IF(D16=700,"WELL DONE",IF(D16=7010,"TRY AGAIN",IF(D16=80,"NO","X"))))</f>
        <v/>
      </c>
      <c r="H16" s="4"/>
    </row>
    <row r="17" spans="1:8" ht="50.1" customHeight="1" thickBot="1">
      <c r="A17" s="5">
        <v>15</v>
      </c>
      <c r="B17" s="6"/>
      <c r="D17" s="8"/>
      <c r="F17" s="1" t="str">
        <f>IF(D17="","",IF(D17=7000,"WELL DONE",IF(D17=710,"TRY AGAIN","X")))</f>
        <v/>
      </c>
      <c r="H17" s="4"/>
    </row>
    <row r="18" spans="1:8" ht="50.1" customHeight="1" thickBot="1">
      <c r="A18" s="5">
        <v>16</v>
      </c>
      <c r="B18" s="6"/>
      <c r="D18" s="8"/>
      <c r="F18" s="1" t="str">
        <f>IF(D18="","",IF(D18=4,"WELL DONE",IF(D18=400,"TRY AGAIN",IF(D18=50,"NO","X"))))</f>
        <v/>
      </c>
      <c r="H18" s="4"/>
    </row>
    <row r="19" spans="1:8" ht="50.1" customHeight="1" thickBot="1">
      <c r="A19" s="5">
        <v>17</v>
      </c>
      <c r="B19" s="6"/>
      <c r="D19" s="8"/>
      <c r="F19" s="1" t="str">
        <f>IF(D19="","",IF(D19=40,"WELL DONE",IF(D19=4000,"TRY AGAIN",IF(D19=40,"NO","X"))))</f>
        <v/>
      </c>
      <c r="H19" s="4"/>
    </row>
    <row r="20" spans="1:8" ht="50.1" customHeight="1" thickBot="1">
      <c r="A20" s="5">
        <v>18</v>
      </c>
      <c r="B20" s="6"/>
      <c r="D20" s="8"/>
      <c r="F20" s="1" t="str">
        <f>IF(D20="","",IF(D20=5,"WELL DONE",IF(D20=10,"TRY AGAIN",IF(D20=500,"NO","X"))))</f>
        <v/>
      </c>
      <c r="H20" s="4"/>
    </row>
    <row r="21" spans="1:8" ht="50.1" customHeight="1" thickBot="1">
      <c r="A21" s="5">
        <v>19</v>
      </c>
      <c r="B21" s="6"/>
      <c r="D21" s="8"/>
      <c r="F21" s="1" t="str">
        <f>IF(D21="","",IF(D21=50,"WELL DONE",IF(D21=5000,"TRY AGAIN",IF(D21=510,"NO","X"))))</f>
        <v/>
      </c>
      <c r="H21" s="4"/>
    </row>
    <row r="22" spans="1:8" ht="50.1" customHeight="1" thickBot="1">
      <c r="A22" s="5">
        <v>20</v>
      </c>
      <c r="B22" s="6"/>
      <c r="D22" s="8"/>
      <c r="F22" s="1" t="str">
        <f>IF(D22="","",IF(D22=7,"WELL DONE",IF(D22=700,"TRY AGAIN",IF(D22=710,"NO","X"))))</f>
        <v/>
      </c>
      <c r="H22" s="4"/>
    </row>
    <row r="23" spans="1:8" ht="50.1" customHeight="1" thickBot="1">
      <c r="A23" s="5">
        <v>21</v>
      </c>
      <c r="B23" s="6"/>
      <c r="D23" s="8"/>
      <c r="F23" s="1" t="str">
        <f>IF(D23="","",IF(D23=70,"WELL DONE",IF(D23=7000,"TRY AGAIN",IF(D23=700,"NO","X"))))</f>
        <v/>
      </c>
      <c r="H23" s="4"/>
    </row>
    <row r="24" spans="1:8" ht="50.1" customHeight="1" thickBot="1">
      <c r="A24" s="5">
        <v>22</v>
      </c>
      <c r="B24" s="6"/>
      <c r="D24" s="8"/>
      <c r="F24" s="1" t="str">
        <f>IF(D24="","",IF(D24=690,"WELL DONE",IF(D24=710,"TRY AGAIN",IF(D24=600,"NO","X"))))</f>
        <v/>
      </c>
      <c r="H24" s="4"/>
    </row>
    <row r="25" spans="1:8" ht="50.1" customHeight="1" thickBot="1">
      <c r="A25" s="5">
        <v>23</v>
      </c>
      <c r="B25" s="6"/>
      <c r="D25" s="8"/>
      <c r="F25" s="1" t="str">
        <f>IF(D25="","",IF(D25=510,"WELL DONE",IF(D25=600,"TRY AGAIN",IF(D25=5000,"NO","X"))))</f>
        <v/>
      </c>
      <c r="H25" s="4"/>
    </row>
    <row r="26" spans="1:8" ht="50.1" customHeight="1" thickBot="1">
      <c r="A26" s="5">
        <v>24</v>
      </c>
      <c r="B26" s="6"/>
      <c r="D26" s="8"/>
      <c r="F26" s="1" t="str">
        <f>IF(D26="","",IF(D26=212,"WELL DONE",IF(D26=221,"TRY AGAIN",IF(D26=211,"NO","X"))))</f>
        <v/>
      </c>
      <c r="H26" s="4"/>
    </row>
    <row r="27" spans="1:8" ht="50.1" customHeight="1" thickBot="1">
      <c r="A27" s="5">
        <v>25</v>
      </c>
      <c r="B27" s="6"/>
      <c r="D27" s="8"/>
      <c r="F27" s="1" t="str">
        <f>IF(D27="","",IF(D27=581,"WELL DONE",IF(D27=561,"TRY AGAIN",IF(D27=671,"NO","X"))))</f>
        <v/>
      </c>
      <c r="H27" s="4"/>
    </row>
    <row r="28" spans="1:8" ht="50.1" customHeight="1" thickBot="1">
      <c r="A28" s="5">
        <v>26</v>
      </c>
      <c r="B28" s="6"/>
      <c r="D28" s="8"/>
      <c r="F28" s="1" t="str">
        <f>IF(D28="","",IF(D28=97,"WELL DONE",IF(D28=117,"TRY AGAIN",IF(D28=7,"NO","X"))))</f>
        <v/>
      </c>
      <c r="H28" s="4"/>
    </row>
    <row r="29" spans="1:8" ht="50.1" customHeight="1" thickBot="1">
      <c r="A29" s="5">
        <v>27</v>
      </c>
      <c r="B29" s="6"/>
      <c r="D29" s="8"/>
      <c r="F29" s="1" t="str">
        <f>IF(D29="","",IF(D29=306,"WELL DONE",IF(D29=286,"TRY AGAIN",IF(D29=206,"NO","X"))))</f>
        <v/>
      </c>
      <c r="H29" s="4"/>
    </row>
    <row r="30" spans="1:8" ht="50.1" customHeight="1" thickBot="1">
      <c r="A30" s="5">
        <v>28</v>
      </c>
      <c r="B30" s="6"/>
      <c r="D30" s="8"/>
      <c r="F30" s="1" t="str">
        <f>IF(D30="","",IF(D30=379,"WELL DONE",IF(D30=370,"TRY AGAIN",IF(D30=289,"NO","X"))))</f>
        <v/>
      </c>
      <c r="H30" s="4"/>
    </row>
    <row r="31" spans="1:8" ht="50.1" customHeight="1" thickBot="1">
      <c r="A31" s="5">
        <v>29</v>
      </c>
      <c r="B31" s="6"/>
      <c r="D31" s="8"/>
      <c r="F31" s="1" t="str">
        <f>IF(D31="","",IF(D31=105,"WELL DONE",IF(D31=1095,"TRY AGAIN",IF(D31=100,"NO","X"))))</f>
        <v/>
      </c>
      <c r="H31" s="4"/>
    </row>
    <row r="32" spans="1:8" ht="54" customHeight="1" thickBot="1">
      <c r="A32" s="5">
        <v>30</v>
      </c>
      <c r="B32" s="6"/>
      <c r="D32" s="8"/>
      <c r="F32" s="1" t="str">
        <f>IF(D32="","",IF(D32=85,"WELL DONE",IF(D32=105,"TRY AGAIN",IF(D32=400,"NO","X"))))</f>
        <v/>
      </c>
      <c r="H32" s="4"/>
    </row>
    <row r="33" spans="1:6" ht="54" customHeight="1" thickBot="1">
      <c r="A33" s="110" t="s">
        <v>0</v>
      </c>
      <c r="B33" s="111"/>
      <c r="C33" s="111"/>
      <c r="D33" s="112"/>
      <c r="F33" s="2">
        <f>COUNTIF(F2:F32,"WELL DONE")</f>
        <v>0</v>
      </c>
    </row>
  </sheetData>
  <mergeCells count="3">
    <mergeCell ref="A1:H1"/>
    <mergeCell ref="A2:H2"/>
    <mergeCell ref="A33:D33"/>
  </mergeCells>
  <conditionalFormatting sqref="F3:F32">
    <cfRule type="cellIs" dxfId="1" priority="2" operator="equal">
      <formula>"WELL DONE"</formula>
    </cfRule>
  </conditionalFormatting>
  <conditionalFormatting sqref="F32:F33">
    <cfRule type="cellIs" dxfId="0" priority="1" operator="between">
      <formula>10</formula>
      <formula>20</formula>
    </cfRule>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45"/>
  <dimension ref="A1"/>
  <sheetViews>
    <sheetView workbookViewId="0">
      <selection activeCell="H3" sqref="H3"/>
    </sheetView>
  </sheetViews>
  <sheetFormatPr defaultRowHeight="15"/>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8"/>
  <dimension ref="A1"/>
  <sheetViews>
    <sheetView workbookViewId="0">
      <selection activeCell="J12" sqref="J12"/>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15</vt:i4>
      </vt:variant>
    </vt:vector>
  </HeadingPairs>
  <TitlesOfParts>
    <vt:vector size="41" baseType="lpstr">
      <vt:lpstr>Main Menu</vt:lpstr>
      <vt:lpstr>WEEK 1M</vt:lpstr>
      <vt:lpstr>WEEK 1T</vt:lpstr>
      <vt:lpstr>WEEK 1W</vt:lpstr>
      <vt:lpstr>WEEK 1TH</vt:lpstr>
      <vt:lpstr>WEEK 1F</vt:lpstr>
      <vt:lpstr>2XX</vt:lpstr>
      <vt:lpstr>WEEK 2M</vt:lpstr>
      <vt:lpstr>WEEK 2T</vt:lpstr>
      <vt:lpstr>WEEK 2W</vt:lpstr>
      <vt:lpstr>WEEK 2TH</vt:lpstr>
      <vt:lpstr>WEEK 2F</vt:lpstr>
      <vt:lpstr>XXX</vt:lpstr>
      <vt:lpstr>3XX</vt:lpstr>
      <vt:lpstr>WEEK 3M</vt:lpstr>
      <vt:lpstr>WEEK 3T</vt:lpstr>
      <vt:lpstr>XXXX</vt:lpstr>
      <vt:lpstr>WEEK 3W</vt:lpstr>
      <vt:lpstr>WEEK 3TH</vt:lpstr>
      <vt:lpstr>WEEK 3F</vt:lpstr>
      <vt:lpstr>EASY</vt:lpstr>
      <vt:lpstr>Week4 TH</vt:lpstr>
      <vt:lpstr>Week4 F</vt:lpstr>
      <vt:lpstr>Week4 W</vt:lpstr>
      <vt:lpstr>4XX</vt:lpstr>
      <vt:lpstr>Sheet1</vt:lpstr>
      <vt:lpstr>'WEEK 1F'!Print_Area</vt:lpstr>
      <vt:lpstr>'WEEK 1M'!Print_Area</vt:lpstr>
      <vt:lpstr>'WEEK 1T'!Print_Area</vt:lpstr>
      <vt:lpstr>'WEEK 1TH'!Print_Area</vt:lpstr>
      <vt:lpstr>'WEEK 1W'!Print_Area</vt:lpstr>
      <vt:lpstr>'WEEK 2F'!Print_Area</vt:lpstr>
      <vt:lpstr>'WEEK 2M'!Print_Area</vt:lpstr>
      <vt:lpstr>'WEEK 2T'!Print_Area</vt:lpstr>
      <vt:lpstr>'WEEK 2TH'!Print_Area</vt:lpstr>
      <vt:lpstr>'WEEK 2W'!Print_Area</vt:lpstr>
      <vt:lpstr>'WEEK 3F'!Print_Area</vt:lpstr>
      <vt:lpstr>'WEEK 3M'!Print_Area</vt:lpstr>
      <vt:lpstr>'WEEK 3T'!Print_Area</vt:lpstr>
      <vt:lpstr>'WEEK 3TH'!Print_Area</vt:lpstr>
      <vt:lpstr>'WEEK 3W'!Print_Area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Corrie Crause</dc:creator>
  <cp:lastModifiedBy>Corrie Crause</cp:lastModifiedBy>
  <cp:lastPrinted>2017-06-27T16:14:33Z</cp:lastPrinted>
  <dcterms:created xsi:type="dcterms:W3CDTF">2014-03-25T06:46:45Z</dcterms:created>
  <dcterms:modified xsi:type="dcterms:W3CDTF">2018-05-21T12:48:17Z</dcterms:modified>
</cp:coreProperties>
</file>